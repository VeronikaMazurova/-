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 firstSheet="1" activeTab="4"/>
  </bookViews>
  <sheets>
    <sheet name="АВС Менеджеры сумма" sheetId="4" r:id="rId1"/>
    <sheet name="АВС Менеджеры сделки" sheetId="8" r:id="rId2"/>
    <sheet name="Данные" sheetId="1" r:id="rId3"/>
    <sheet name="ABC Менеджеры" sheetId="2" r:id="rId4"/>
    <sheet name="ABC_XYZ Клиенты" sheetId="3" r:id="rId5"/>
    <sheet name="АВС_XYZ" sheetId="10" r:id="rId6"/>
  </sheets>
  <definedNames>
    <definedName name="_xlnm._FilterDatabase" localSheetId="0" hidden="1">'АВС Менеджеры сумма'!$A$21:$I$42</definedName>
    <definedName name="_xlnm._FilterDatabase" localSheetId="1" hidden="1">'АВС Менеджеры сделки'!$A$22:$J$43</definedName>
    <definedName name="_xlnm._FilterDatabase" localSheetId="3" hidden="1">'ABC Менеджеры'!$A$7:$D$27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<sst xmlns="http://schemas.openxmlformats.org/spreadsheetml/2006/main" count="7080" uniqueCount="320">
  <si>
    <t>X</t>
  </si>
  <si>
    <r>
      <rPr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1</t>
    </r>
  </si>
  <si>
    <t>Xa-bc</t>
  </si>
  <si>
    <t>Ya-bc</t>
  </si>
  <si>
    <r>
      <rPr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2</t>
    </r>
  </si>
  <si>
    <t>Xb-c</t>
  </si>
  <si>
    <t>Yb-c</t>
  </si>
  <si>
    <t>20/30/50</t>
  </si>
  <si>
    <t>80/15/5</t>
  </si>
  <si>
    <t>ФИО менеджера</t>
  </si>
  <si>
    <t>Количество</t>
  </si>
  <si>
    <t>Номер</t>
  </si>
  <si>
    <r>
      <rPr>
        <b/>
        <sz val="11"/>
        <color theme="1"/>
        <rFont val="Calibri"/>
        <charset val="134"/>
        <scheme val="minor"/>
      </rPr>
      <t>Y</t>
    </r>
    <r>
      <rPr>
        <sz val="6"/>
        <color theme="1"/>
        <rFont val="Calibri"/>
        <charset val="134"/>
        <scheme val="minor"/>
      </rPr>
      <t>0</t>
    </r>
  </si>
  <si>
    <r>
      <rPr>
        <b/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1</t>
    </r>
  </si>
  <si>
    <r>
      <rPr>
        <b/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-Y</t>
    </r>
    <r>
      <rPr>
        <vertAlign val="subscript"/>
        <sz val="11"/>
        <color theme="1"/>
        <rFont val="Calibri"/>
        <charset val="134"/>
        <scheme val="minor"/>
      </rPr>
      <t>1</t>
    </r>
  </si>
  <si>
    <r>
      <rPr>
        <b/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2</t>
    </r>
  </si>
  <si>
    <r>
      <rPr>
        <b/>
        <sz val="11"/>
        <color theme="1"/>
        <rFont val="Calibri"/>
        <charset val="134"/>
        <scheme val="minor"/>
      </rPr>
      <t>Y</t>
    </r>
    <r>
      <rPr>
        <vertAlign val="subscript"/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-Y</t>
    </r>
    <r>
      <rPr>
        <vertAlign val="subscript"/>
        <sz val="11"/>
        <color theme="1"/>
        <rFont val="Calibri"/>
        <charset val="134"/>
        <scheme val="minor"/>
      </rPr>
      <t>2</t>
    </r>
  </si>
  <si>
    <t>АВС</t>
  </si>
  <si>
    <t>Яковлев Артем Игоревич</t>
  </si>
  <si>
    <t>А</t>
  </si>
  <si>
    <t>Фролов Сергей Викторович</t>
  </si>
  <si>
    <t>Иванова Анна Сергеевна</t>
  </si>
  <si>
    <t>Ткаченко Андрей Олегович</t>
  </si>
  <si>
    <t>Семенова Ирина Валерьевна</t>
  </si>
  <si>
    <t>В</t>
  </si>
  <si>
    <t>Орлов Павел Денисович</t>
  </si>
  <si>
    <t>Кузнецов Максим Алексеевич</t>
  </si>
  <si>
    <t>Морозова Елена Андреевна</t>
  </si>
  <si>
    <t>Волков Дмитрий Романович</t>
  </si>
  <si>
    <t>Соколова Мария Ильинична</t>
  </si>
  <si>
    <t>С</t>
  </si>
  <si>
    <t>Лебедев Николай Олегович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</si>
  <si>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</si>
  <si>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</si>
  <si>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</si>
  <si>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</si>
  <si>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</si>
  <si>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</si>
  <si>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Федорова Ксения Максимовна</t>
  </si>
  <si>
    <t>Егоров Илья Александрович</t>
  </si>
  <si>
    <t>Михайлова Алина Романовна</t>
  </si>
  <si>
    <t>Перпендикуляры</t>
  </si>
  <si>
    <t>Xbc</t>
  </si>
  <si>
    <t>Ybc</t>
  </si>
  <si>
    <t>ФИО клиента</t>
  </si>
  <si>
    <t>Дата сделки</t>
  </si>
  <si>
    <t>Сумма сделки</t>
  </si>
  <si>
    <t>Алексеев Александр Александрович</t>
  </si>
  <si>
    <t>Лебедев Виктор Антонович</t>
  </si>
  <si>
    <t>Новиков Максим Иванович</t>
  </si>
  <si>
    <t>Соколова Дарья Максимовна</t>
  </si>
  <si>
    <t>Андреев Николай Дмитриевич</t>
  </si>
  <si>
    <t>Куликова Александра Дмитриевна</t>
  </si>
  <si>
    <t>Романов Николай Кириллович</t>
  </si>
  <si>
    <t>Алексеев Дмитрий Артемович</t>
  </si>
  <si>
    <t>Андреев Илья Дмитриевич</t>
  </si>
  <si>
    <t>Захарова Людмила Федоровна</t>
  </si>
  <si>
    <t>Павлов Владимир Александрович</t>
  </si>
  <si>
    <t>Павлов Николай Антонович</t>
  </si>
  <si>
    <t>Ковалев Сергей Борисович</t>
  </si>
  <si>
    <t>Морозова Анна Ильинична</t>
  </si>
  <si>
    <t>Григорьева Ирина Антоновна</t>
  </si>
  <si>
    <t>Андреева Алина Ивановна</t>
  </si>
  <si>
    <t>Никитина Елена Юрьевна</t>
  </si>
  <si>
    <t>Волкова Александра Алексеевна</t>
  </si>
  <si>
    <t>Никитина Светлана Сергеевна</t>
  </si>
  <si>
    <t>Алексеева Екатерина Андреевна</t>
  </si>
  <si>
    <t>Козлов Артем Дмитриевич</t>
  </si>
  <si>
    <t>Куликов Сергей Игоревич</t>
  </si>
  <si>
    <t>Морозова Людмила Владимировна</t>
  </si>
  <si>
    <t>Николаев Антон Ильич</t>
  </si>
  <si>
    <t>Соколова Александра Андреевна</t>
  </si>
  <si>
    <t>Соловьева Татьяна Антоновна</t>
  </si>
  <si>
    <t>Захаров Федор Алексеевич</t>
  </si>
  <si>
    <t>Зайцева Дарья Андреевна</t>
  </si>
  <si>
    <t>Куликова Елена Николаевна</t>
  </si>
  <si>
    <t>Григорьев Борис Андреевич</t>
  </si>
  <si>
    <t>Комаров Михаил Викторович</t>
  </si>
  <si>
    <t>Смирнов Алексей Артемович</t>
  </si>
  <si>
    <t>Иванов Олег Борисович</t>
  </si>
  <si>
    <t>Андреев Федор Сергеевич</t>
  </si>
  <si>
    <t>Лебедев Максим Дмитриевич</t>
  </si>
  <si>
    <t>Федоров Артем Романович</t>
  </si>
  <si>
    <t>Федоров Борис Федорович</t>
  </si>
  <si>
    <t>Козлова Дарья Федоровна</t>
  </si>
  <si>
    <t>Макаров Дмитрий Игоревич</t>
  </si>
  <si>
    <t>Соколова Анна Владимировна</t>
  </si>
  <si>
    <t>Белов Павел Дмитриевич</t>
  </si>
  <si>
    <t>Волков Евгений Сергеевич</t>
  </si>
  <si>
    <t>Захаров Федор Евгеньевич</t>
  </si>
  <si>
    <t>Николаева Дарья Ильинична</t>
  </si>
  <si>
    <t>Яковлева Ольга Романовна</t>
  </si>
  <si>
    <t>Андреев Михаил Ильич</t>
  </si>
  <si>
    <t>Ковалева Наталья Ивановна</t>
  </si>
  <si>
    <t>Козлова Ирина Федоровна</t>
  </si>
  <si>
    <t>Кузнецов Игорь Алексеевич</t>
  </si>
  <si>
    <t>Куликов Евгений Иванович</t>
  </si>
  <si>
    <t>Федорова Надежда Викторовна</t>
  </si>
  <si>
    <t>Воробьева Марина Сергеевна</t>
  </si>
  <si>
    <t>Волков Кирилл Федорович</t>
  </si>
  <si>
    <t>Васильева Надежда Денисовна</t>
  </si>
  <si>
    <t>Семенова Алина Денисовна</t>
  </si>
  <si>
    <t>Захаров Роман Романович</t>
  </si>
  <si>
    <t>Куликов Денис Романович</t>
  </si>
  <si>
    <t>Смирнова Валерия Викторовна</t>
  </si>
  <si>
    <t>Алексеева Ксения Евгеньевна</t>
  </si>
  <si>
    <t>Андреев Евгений Александрович</t>
  </si>
  <si>
    <t>Степанов Федор Артемович</t>
  </si>
  <si>
    <t>Яковлев Олег Кириллович</t>
  </si>
  <si>
    <t>Романов Евгений Александрович</t>
  </si>
  <si>
    <t>Алексеева Марина Евгеньевна</t>
  </si>
  <si>
    <t>Кузнецова Мария Евгеньевна</t>
  </si>
  <si>
    <t>Егоров Игорь Александрович</t>
  </si>
  <si>
    <t>Павлова Людмила Михайловна</t>
  </si>
  <si>
    <t>Смирнов Борис Владимирович</t>
  </si>
  <si>
    <t>Захарова Екатерина Андреевна</t>
  </si>
  <si>
    <t>Сидорова Виктория Алексеевна</t>
  </si>
  <si>
    <t>Макарова Татьяна Михайловна</t>
  </si>
  <si>
    <t>Семенова Людмила Александровна</t>
  </si>
  <si>
    <t>Смирнов Илья Артемович</t>
  </si>
  <si>
    <t>Соловьева Анастасия Андреевна</t>
  </si>
  <si>
    <t>Семенов Олег Викторович</t>
  </si>
  <si>
    <t>Смирнова Ирина Романовна</t>
  </si>
  <si>
    <t>Степанов Максим Алексеевич</t>
  </si>
  <si>
    <t>Сергеев Кирилл Викторович</t>
  </si>
  <si>
    <t>Попова Мария Игоревна</t>
  </si>
  <si>
    <t>Воробьев Евгений Николаевич</t>
  </si>
  <si>
    <t>Сергеев Максим Алексеевич</t>
  </si>
  <si>
    <t>Соколова Марина Ильинична</t>
  </si>
  <si>
    <t>Сидорова Алина Максимовна</t>
  </si>
  <si>
    <t>Романова Анна Алексеевна</t>
  </si>
  <si>
    <t>Сидорова Ольга Сергеевна</t>
  </si>
  <si>
    <t>Егорова Светлана Федоровна</t>
  </si>
  <si>
    <t>Комарова Марина Михайловна</t>
  </si>
  <si>
    <t>Николаева Софья Владимировна</t>
  </si>
  <si>
    <t>Попов Михаил Романович</t>
  </si>
  <si>
    <t>Григорьева Ирина Николаевна</t>
  </si>
  <si>
    <t>Иванова Анастасия Евгеньевна</t>
  </si>
  <si>
    <t>Федоров Кирилл Ильич</t>
  </si>
  <si>
    <t>Петров Борис Евгеньевич</t>
  </si>
  <si>
    <t>Новиков Владимир Александрович</t>
  </si>
  <si>
    <t>Романова Наталья Евгеньевна</t>
  </si>
  <si>
    <t>Козлова Мария Максимовна</t>
  </si>
  <si>
    <t>Федоров Иван Александрович</t>
  </si>
  <si>
    <t>Васильева Екатерина Андреевна</t>
  </si>
  <si>
    <t>Орлов Дмитрий Викторович</t>
  </si>
  <si>
    <t>Белов Роман Николаевич</t>
  </si>
  <si>
    <t>Григорьев Виктор Павлович</t>
  </si>
  <si>
    <t>Иванов Антон Дмитриевич</t>
  </si>
  <si>
    <t>Белов Артем Олегович</t>
  </si>
  <si>
    <t>Воробьев Максим Федорович</t>
  </si>
  <si>
    <t>Орлов Денис Алексеевич</t>
  </si>
  <si>
    <t>Михайлов Антон Артемович</t>
  </si>
  <si>
    <t>Морозов Виктор Антонович</t>
  </si>
  <si>
    <t>Борисова Виктория Романовна</t>
  </si>
  <si>
    <t>Орлов Илья Михайлович</t>
  </si>
  <si>
    <t>Яковлева Алина Евгеньевна</t>
  </si>
  <si>
    <t>Николаев Вадим Владимирович</t>
  </si>
  <si>
    <t>Комарова Наталья Денисовна</t>
  </si>
  <si>
    <t>Смирнов Павел Алексеевич</t>
  </si>
  <si>
    <t>Волкова Ольга Сергеевна</t>
  </si>
  <si>
    <t>Попова Анастасия Ивановна</t>
  </si>
  <si>
    <t>Николаев Степан Борисович</t>
  </si>
  <si>
    <t>Семенов Денис Андреевич</t>
  </si>
  <si>
    <t>Семенов Евгений Игоревич</t>
  </si>
  <si>
    <t>Тарасова Светлана Владимировна</t>
  </si>
  <si>
    <t>Орлова Светлана Максимовна</t>
  </si>
  <si>
    <t>Лебедев Павел Михайлович</t>
  </si>
  <si>
    <t>Морозов Павел Ильич</t>
  </si>
  <si>
    <t>Никитина Юлия Александровна</t>
  </si>
  <si>
    <t>Орлов Вадим Ильич</t>
  </si>
  <si>
    <t>Куликов Алексей Олегович</t>
  </si>
  <si>
    <t>Павлова Наталья Романовна</t>
  </si>
  <si>
    <t>Сидорова Мария Денисовна</t>
  </si>
  <si>
    <t>Никитина Марина Ильинична</t>
  </si>
  <si>
    <t>Алексеев Антон Сергеевич</t>
  </si>
  <si>
    <t>Иванов Юрий Борисович</t>
  </si>
  <si>
    <t>Кузнецова Мария Юрьевна</t>
  </si>
  <si>
    <t>Григорьев Антон Александрович</t>
  </si>
  <si>
    <t>Степанов Максим Кириллович</t>
  </si>
  <si>
    <t>Воробьева Алина Олеговна</t>
  </si>
  <si>
    <t>Никитин Степан Денисович</t>
  </si>
  <si>
    <t>Орлова Алина Алексеевна</t>
  </si>
  <si>
    <t>Павлова Светлана Алексеевна</t>
  </si>
  <si>
    <t>Семенова Полина Николаевна</t>
  </si>
  <si>
    <t>Петров Николай Федорович</t>
  </si>
  <si>
    <t>Макаров Дмитрий Олегович</t>
  </si>
  <si>
    <t>Михайлова Юлия Сергеевна</t>
  </si>
  <si>
    <t>Комаров Игорь Игоревич</t>
  </si>
  <si>
    <t>Алексеева Александра Викторовна</t>
  </si>
  <si>
    <t>Захарова Ксения Олеговна</t>
  </si>
  <si>
    <t>Соколов Денис Викторович</t>
  </si>
  <si>
    <t>Макаров Юрий Андреевич</t>
  </si>
  <si>
    <t>Никитина Наталья Андреевна</t>
  </si>
  <si>
    <t>Лебедева Екатерина Алексеевна</t>
  </si>
  <si>
    <t>Тарасов Игорь Игоревич</t>
  </si>
  <si>
    <t>Семенова Софья Ильинична</t>
  </si>
  <si>
    <t>Белова Татьяна Николаевна</t>
  </si>
  <si>
    <t>Новикова Наталья Олеговна</t>
  </si>
  <si>
    <t>Степанов Кирилл Максимович</t>
  </si>
  <si>
    <t>Белова Виктория Михайловна</t>
  </si>
  <si>
    <t>Васильев Алексей Борисович</t>
  </si>
  <si>
    <t>Павлова Елена Александровна</t>
  </si>
  <si>
    <t>Ковалев Роман Борисович</t>
  </si>
  <si>
    <t>Сергеева Светлана Владимировна</t>
  </si>
  <si>
    <t>Ковалев Дмитрий Александрович</t>
  </si>
  <si>
    <t>Алексеев Павел Борисович</t>
  </si>
  <si>
    <t>Борисова Екатерина Михайловна</t>
  </si>
  <si>
    <t>Семенова Полина Максимовна</t>
  </si>
  <si>
    <t>Кузнецов Владимир Артемович</t>
  </si>
  <si>
    <t>Орлова Татьяна Денисовна</t>
  </si>
  <si>
    <t>Кузнецов Иван Николаевич</t>
  </si>
  <si>
    <t>Комарова Ольга Ильинична</t>
  </si>
  <si>
    <t>Николаев Александр Николаевич</t>
  </si>
  <si>
    <t>Соколова Анастасия Дмитриевна</t>
  </si>
  <si>
    <t>Тарасова Полина Владимировна</t>
  </si>
  <si>
    <t>Баранов Иван Андреевич</t>
  </si>
  <si>
    <t>Морозова Ирина Денисовна</t>
  </si>
  <si>
    <t>Попов Роман Сергеевич</t>
  </si>
  <si>
    <t>Иванова Алина Павловна</t>
  </si>
  <si>
    <t>Семенов Павел Алексеевич</t>
  </si>
  <si>
    <t>Смирнов Олег Борисович</t>
  </si>
  <si>
    <t>Семенов Павел Игоревич</t>
  </si>
  <si>
    <t>Николаев Артем Викторович</t>
  </si>
  <si>
    <t>Соловьева Екатерина Игоревна</t>
  </si>
  <si>
    <t>Сидоров Вадим Николаевич</t>
  </si>
  <si>
    <t>Лебедева Анна Ивановна</t>
  </si>
  <si>
    <t>Куликов Илья Борисович</t>
  </si>
  <si>
    <t>Орлова Наталья Алексеевна</t>
  </si>
  <si>
    <t>Новикова Полина Денисовна</t>
  </si>
  <si>
    <t>Сидоров Артем Павлович</t>
  </si>
  <si>
    <t>Соколова Анастасия Ивановна</t>
  </si>
  <si>
    <t>Зайцева Марина Денисовна</t>
  </si>
  <si>
    <t>Комарова Анна Михайловна</t>
  </si>
  <si>
    <t>Михайлов Вадим Романович</t>
  </si>
  <si>
    <t>Белова Валерия Юрьевна</t>
  </si>
  <si>
    <t>Яковлева Алина Николаевна</t>
  </si>
  <si>
    <t>Романов Антон Евгеньевич</t>
  </si>
  <si>
    <t>Романова Елена Олеговна</t>
  </si>
  <si>
    <t>Васильев Степан Дмитриевич</t>
  </si>
  <si>
    <t>Алексеева Александра Евгеньевна</t>
  </si>
  <si>
    <t>Алексеев Олег Артемович</t>
  </si>
  <si>
    <t>Козлов Александр Антонович</t>
  </si>
  <si>
    <t>Иванов Александр Максимович</t>
  </si>
  <si>
    <t>Баранов Антон Павлович</t>
  </si>
  <si>
    <t>Сидорова Алина Игоревна</t>
  </si>
  <si>
    <t>Николаева Марина Владимировна</t>
  </si>
  <si>
    <t>Смирнов Михаил Николаевич</t>
  </si>
  <si>
    <t>Андреева Екатерина Игоревна</t>
  </si>
  <si>
    <t>Зайцев Вадим Денисович</t>
  </si>
  <si>
    <t>Николаев Алексей Федорович</t>
  </si>
  <si>
    <t>Белов Александр Федорович</t>
  </si>
  <si>
    <t>Морозов Роман Артемович</t>
  </si>
  <si>
    <t>Орлова Дарья Денисовна</t>
  </si>
  <si>
    <t>Попов Вадим Дмитриевич</t>
  </si>
  <si>
    <t>Козлова Ирина Евгеньевна</t>
  </si>
  <si>
    <t>Лебедева Ирина Михайловна</t>
  </si>
  <si>
    <t>Волкова Юлия Алексеевна</t>
  </si>
  <si>
    <t>Сергеев Борис Артемович</t>
  </si>
  <si>
    <t>Волкова Виктория Ивановна</t>
  </si>
  <si>
    <t>Ковалев Кирилл Игоревич</t>
  </si>
  <si>
    <t>Павлова Полина Павловна</t>
  </si>
  <si>
    <t>Сергеев Дмитрий Федорович</t>
  </si>
  <si>
    <t>Сергеева Екатерина Андреевна</t>
  </si>
  <si>
    <t>Смирнова Екатерина Романовна</t>
  </si>
  <si>
    <t>Федорова Софья Дмитриевна</t>
  </si>
  <si>
    <t>Сидорова Людмила Сергеевна</t>
  </si>
  <si>
    <t>Морозов Евгений Антонович</t>
  </si>
  <si>
    <t>Алексеев Артем Антонович</t>
  </si>
  <si>
    <t>Васильева Юлия Алексеевна</t>
  </si>
  <si>
    <t>Алексеева Юлия Николаевна</t>
  </si>
  <si>
    <t>Тарасов Роман Викторович</t>
  </si>
  <si>
    <t>Захаров Евгений Владимирович</t>
  </si>
  <si>
    <t>Романова Валерия Александровна</t>
  </si>
  <si>
    <t>Куликов Дмитрий Антонович</t>
  </si>
  <si>
    <t>Романова Анна Дмитриевна</t>
  </si>
  <si>
    <t>Орлова Дарья Алексеевна</t>
  </si>
  <si>
    <t>Волкова Юлия Максимовна</t>
  </si>
  <si>
    <t>Семенова Валерия Антоновна</t>
  </si>
  <si>
    <t>Васильев Дмитрий Александрович</t>
  </si>
  <si>
    <t>Соловьева Виктория Андреевна</t>
  </si>
  <si>
    <t>Яковлева Анна Олеговна</t>
  </si>
  <si>
    <t>Зайцев Михаил Артемович</t>
  </si>
  <si>
    <t>Алексеева Дарья Денисовна</t>
  </si>
  <si>
    <t>ФИО Менеджера (по алфавиту)</t>
  </si>
  <si>
    <t>ABC по сумме сделки</t>
  </si>
  <si>
    <t>ABC по количеству сделок</t>
  </si>
  <si>
    <t>ФИО Клиента (все клиенты)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</si>
  <si>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</si>
  <si>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</si>
  <si>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</si>
  <si>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</si>
  <si>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</si>
  <si>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</si>
  <si>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</si>
  <si>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</si>
  <si>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ABC</t>
  </si>
  <si>
    <t>XYZ</t>
  </si>
  <si>
    <t>Захаров Павел Артемович</t>
  </si>
  <si>
    <t>A</t>
  </si>
  <si>
    <t>Z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</si>
  <si>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</si>
  <si>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</si>
  <si>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</si>
  <si>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</si>
  <si>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Y</t>
  </si>
  <si>
    <t>Григорьева Марина Антоновна</t>
  </si>
  <si>
    <t>Степанов Алексей Александрович</t>
  </si>
  <si>
    <t>Козлов Максим Антонович</t>
  </si>
  <si>
    <t>B</t>
  </si>
  <si>
    <t>Белов Юрий Максимович</t>
  </si>
  <si>
    <t>Степанова Ольга Денисовна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</si>
  <si>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</si>
  <si>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</si>
  <si>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</si>
  <si>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</si>
  <si>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 xml:space="preserve">         </t>
  </si>
  <si>
    <t>Сумма</t>
  </si>
  <si>
    <t>Вариация</t>
  </si>
  <si>
    <t>Сумма Сумма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</si>
</sst>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178" formatCode="0.0%"/>
    <numFmt numFmtId="179" formatCode="yyyy\-mm\-dd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rgb="FFFF0000"/>
      <name val="Calibri"/>
      <charset val="134"/>
      <scheme val="minor"/>
    </font>
    <font>
      <sz val="11"/>
      <color rgb="FFFFFF0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FFFFFF"/>
      <name val="Carlito"/>
      <charset val="134"/>
    </font>
    <font>
      <b/>
      <sz val="11"/>
      <name val="Calibri"/>
      <charset val="204"/>
    </font>
    <font>
      <sz val="11"/>
      <color rgb="FFC00000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rlito"/>
      <charset val="134"/>
    </font>
    <font>
      <vertAlign val="subscript"/>
      <sz val="11"/>
      <color theme="1"/>
      <name val="Calibri"/>
      <charset val="134"/>
      <scheme val="minor"/>
    </font>
    <font>
      <sz val="6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DB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</cellStyleXfs>
  <cellXfs count="44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0" xfId="0" applyFont="1" applyFill="1"/>
    <xf numFmtId="178" fontId="0" fillId="0" borderId="0" xfId="3" applyNumberFormat="1"/>
    <xf numFmtId="9" fontId="0" fillId="3" borderId="0" xfId="0" applyNumberFormat="1" applyFill="1"/>
    <xf numFmtId="0" fontId="0" fillId="3" borderId="0" xfId="0" applyFill="1"/>
    <xf numFmtId="9" fontId="0" fillId="4" borderId="0" xfId="0" applyNumberFormat="1" applyFill="1"/>
    <xf numFmtId="0" fontId="0" fillId="4" borderId="0" xfId="0" applyFill="1"/>
    <xf numFmtId="178" fontId="0" fillId="3" borderId="0" xfId="3" applyNumberFormat="1" applyFill="1"/>
    <xf numFmtId="0" fontId="2" fillId="5" borderId="2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3" fillId="5" borderId="2" xfId="0" applyFont="1" applyFill="1" applyBorder="1" applyAlignment="1">
      <alignment horizontal="left"/>
    </xf>
    <xf numFmtId="0" fontId="0" fillId="5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6" fillId="7" borderId="0" xfId="49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179" fontId="0" fillId="0" borderId="0" xfId="49" applyNumberFormat="1" applyFont="1" applyFill="1" applyBorder="1"/>
    <xf numFmtId="3" fontId="0" fillId="0" borderId="0" xfId="49" applyNumberFormat="1" applyFont="1" applyFill="1" applyBorder="1"/>
    <xf numFmtId="0" fontId="0" fillId="0" borderId="0" xfId="0" applyFont="1"/>
    <xf numFmtId="9" fontId="0" fillId="0" borderId="0" xfId="0" applyNumberFormat="1"/>
    <xf numFmtId="178" fontId="0" fillId="0" borderId="0" xfId="3" applyNumberFormat="1" applyAlignment="1"/>
    <xf numFmtId="10" fontId="0" fillId="0" borderId="0" xfId="3" applyNumberFormat="1" applyAlignment="1"/>
    <xf numFmtId="178" fontId="0" fillId="0" borderId="0" xfId="0" applyNumberFormat="1"/>
    <xf numFmtId="0" fontId="1" fillId="8" borderId="4" xfId="0" applyFont="1" applyFill="1" applyBorder="1"/>
    <xf numFmtId="10" fontId="0" fillId="0" borderId="0" xfId="0" applyNumberFormat="1"/>
    <xf numFmtId="178" fontId="0" fillId="4" borderId="0" xfId="3" applyNumberFormat="1" applyFill="1" applyAlignment="1"/>
    <xf numFmtId="10" fontId="0" fillId="4" borderId="0" xfId="3" applyNumberFormat="1" applyFill="1" applyAlignment="1"/>
    <xf numFmtId="9" fontId="8" fillId="0" borderId="0" xfId="3" applyFont="1" applyAlignment="1"/>
    <xf numFmtId="178" fontId="9" fillId="0" borderId="0" xfId="3" applyNumberFormat="1" applyFont="1" applyAlignment="1"/>
    <xf numFmtId="10" fontId="0" fillId="0" borderId="0" xfId="3" applyNumberFormat="1" applyFont="1" applyAlignment="1"/>
    <xf numFmtId="178" fontId="0" fillId="3" borderId="0" xfId="3" applyNumberFormat="1" applyFill="1" applyAlignment="1"/>
    <xf numFmtId="10" fontId="0" fillId="3" borderId="0" xfId="3" applyNumberFormat="1" applyFill="1" applyAlignment="1"/>
    <xf numFmtId="178" fontId="0" fillId="9" borderId="0" xfId="3" applyNumberFormat="1" applyFill="1" applyAlignment="1"/>
    <xf numFmtId="10" fontId="0" fillId="9" borderId="0" xfId="3" applyNumberFormat="1" applyFill="1" applyAlignment="1"/>
    <xf numFmtId="10" fontId="10" fillId="4" borderId="0" xfId="3" applyNumberFormat="1" applyFont="1" applyFill="1" applyAlignment="1"/>
    <xf numFmtId="178" fontId="8" fillId="0" borderId="0" xfId="3" applyNumberFormat="1" applyFont="1" applyAlignment="1"/>
    <xf numFmtId="10" fontId="10" fillId="3" borderId="0" xfId="3" applyNumberFormat="1" applyFont="1" applyFill="1" applyAlignment="1"/>
    <xf numFmtId="10" fontId="10" fillId="9" borderId="0" xfId="3" applyNumberFormat="1" applyFont="1" applyFill="1" applyAlignme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15">
    <dxf>
      <font>
        <color rgb="FFFFFFDB"/>
      </font>
    </dxf>
    <dxf>
      <font>
        <color theme="1"/>
      </font>
    </dxf>
    <dxf>
      <fill>
        <patternFill patternType="solid">
          <bgColor rgb="FFFFFFDB"/>
        </patternFill>
      </fill>
    </dxf>
    <dxf>
      <fill>
        <patternFill patternType="solid">
          <bgColor rgb="FFFFFFDB"/>
        </patternFill>
      </fill>
    </dxf>
    <dxf>
      <numFmt numFmtId="10" formatCode="0.00%"/>
    </dxf>
    <dxf>
      <numFmt numFmtId="180" formatCode="#,000_);[Red]\(#,000\)"/>
    </dxf>
    <dxf>
      <numFmt numFmtId="178" formatCode="0.0%"/>
    </dxf>
    <dxf>
      <numFmt numFmtId="10" formatCode="0.00%"/>
    </dxf>
    <dxf>
      <numFmt numFmtId="181" formatCode="#,000_);[Red]\(#,000\)"/>
    </dxf>
    <dxf>
      <numFmt numFmtId="182" formatCode="#,##0.00\ &quot;₽&quot;_);[Red]\(#,##0.00\ &quot;₽&quot;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695953256871"/>
          <c:y val="0.0845317452065813"/>
          <c:w val="0.698873117347492"/>
          <c:h val="0.843071965628357"/>
        </c:manualLayout>
      </c:layout>
      <c:scatterChart>
        <c:scatterStyle val="lineMarker"/>
        <c:varyColors val="0"/>
        <c:ser>
          <c:idx val="0"/>
          <c:order val="0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сумма'!$D$23:$D$42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'АВС Менеджеры сумма'!$E$23:$E$42</c:f>
              <c:numCache>
                <c:formatCode>0.00%</c:formatCode>
                <c:ptCount val="20"/>
                <c:pt idx="0">
                  <c:v>0.453098819371302</c:v>
                </c:pt>
                <c:pt idx="1">
                  <c:v>0.649675416957838</c:v>
                </c:pt>
                <c:pt idx="2">
                  <c:v>0.772495871636681</c:v>
                </c:pt>
                <c:pt idx="3">
                  <c:v>0.834134725524499</c:v>
                </c:pt>
                <c:pt idx="4">
                  <c:v>0.873621833210877</c:v>
                </c:pt>
                <c:pt idx="5">
                  <c:v>0.900003757900346</c:v>
                </c:pt>
                <c:pt idx="6">
                  <c:v>0.920719852856402</c:v>
                </c:pt>
                <c:pt idx="7">
                  <c:v>0.936352652732888</c:v>
                </c:pt>
                <c:pt idx="8">
                  <c:v>0.950019051210697</c:v>
                </c:pt>
                <c:pt idx="9">
                  <c:v>0.960259061935192</c:v>
                </c:pt>
                <c:pt idx="10">
                  <c:v>0.969260593713943</c:v>
                </c:pt>
                <c:pt idx="11">
                  <c:v>0.976823130491838</c:v>
                </c:pt>
                <c:pt idx="12">
                  <c:v>0.982514890721099</c:v>
                </c:pt>
                <c:pt idx="13">
                  <c:v>0.986922342885536</c:v>
                </c:pt>
                <c:pt idx="14">
                  <c:v>0.99120218597686</c:v>
                </c:pt>
                <c:pt idx="15">
                  <c:v>0.994080744198456</c:v>
                </c:pt>
                <c:pt idx="16">
                  <c:v>0.996456985115557</c:v>
                </c:pt>
                <c:pt idx="17">
                  <c:v>0.997688492440419</c:v>
                </c:pt>
                <c:pt idx="18">
                  <c:v>0.998854785606322</c:v>
                </c:pt>
                <c:pt idx="1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'АВС Менеджеры сумма'!$H$1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3856130421102"/>
                  <c:y val="0.5078841360860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1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'АВС Менеджеры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'АВС Менеджеры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'АВС Менеджеры сумма'!$H$5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rgbClr val="7B32B2"/>
                  </a:gs>
                  <a:gs pos="100000">
                    <a:srgbClr val="401A5D"/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29149534732742"/>
                  <c:y val="0.4326973569053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'АВС Менеджеры сумма'!$G$6:$G$7</c:f>
              <c:numCache>
                <c:formatCode>0.0%</c:formatCode>
                <c:ptCount val="2"/>
                <c:pt idx="0">
                  <c:v>0.2</c:v>
                </c:pt>
                <c:pt idx="1" c:formatCode="0%">
                  <c:v>1</c:v>
                </c:pt>
              </c:numCache>
            </c:numRef>
          </c:xVal>
          <c:yVal>
            <c:numRef>
              <c:f>'АВС Менеджеры сумма'!$H$6:$H$7</c:f>
              <c:numCache>
                <c:formatCode>0.00%</c:formatCode>
                <c:ptCount val="2"/>
                <c:pt idx="0">
                  <c:v>0.834134725524499</c:v>
                </c:pt>
                <c:pt idx="1" c:formatCode="0%">
                  <c:v>1</c:v>
                </c:pt>
              </c:numCache>
            </c:numRef>
          </c:yVal>
          <c:smooth val="0"/>
        </c:ser>
        <c:ser>
          <c:idx val="5"/>
          <c:order val="3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сумма'!$J$2:$J$3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'АВС Менеджеры сумма'!$K$2:$K$3</c:f>
              <c:numCache>
                <c:formatCode>0.00%</c:formatCode>
                <c:ptCount val="2"/>
                <c:pt idx="0">
                  <c:v>0.834134725524499</c:v>
                </c:pt>
                <c:pt idx="1" c:formatCode="0%">
                  <c:v>0</c:v>
                </c:pt>
              </c:numCache>
            </c:numRef>
          </c:yVal>
          <c:smooth val="0"/>
        </c:ser>
        <c:ser>
          <c:idx val="6"/>
          <c:order val="4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28575" cmpd="sng">
                <a:solidFill>
                  <a:schemeClr val="bg1">
                    <a:lumMod val="50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'АВС Менеджеры сумма'!$J$6:$J$7</c:f>
              <c:numCache>
                <c:formatCode>0.0%</c:formatCode>
                <c:ptCount val="2"/>
                <c:pt idx="0">
                  <c:v>0.45</c:v>
                </c:pt>
                <c:pt idx="1">
                  <c:v>0.45</c:v>
                </c:pt>
              </c:numCache>
            </c:numRef>
          </c:xVal>
          <c:yVal>
            <c:numRef>
              <c:f>'АВС Менеджеры сумма'!$K$6:$K$7</c:f>
              <c:numCache>
                <c:formatCode>0.00%</c:formatCode>
                <c:ptCount val="2"/>
                <c:pt idx="0">
                  <c:v>0.950019051210697</c:v>
                </c:pt>
                <c:pt idx="1" c:formatCode="0%">
                  <c:v>0</c:v>
                </c:pt>
              </c:numCache>
            </c:numRef>
          </c:yVal>
          <c:smooth val="0"/>
        </c:ser>
        <c:ser>
          <c:idx val="2"/>
          <c:order val="5"/>
          <c:tx>
            <c:strRef>
              <c:f>'АВС Менеджеры сумма'!$J$1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сумма'!$J$2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'АВС Менеджеры сумма'!$K$2</c:f>
              <c:numCache>
                <c:formatCode>0.00%</c:formatCode>
                <c:ptCount val="1"/>
                <c:pt idx="0">
                  <c:v>0.834134725524499</c:v>
                </c:pt>
              </c:numCache>
            </c:numRef>
          </c:yVal>
          <c:smooth val="0"/>
        </c:ser>
        <c:ser>
          <c:idx val="4"/>
          <c:order val="6"/>
          <c:tx>
            <c:strRef>
              <c:f>'АВС Менеджеры сумма'!$J$5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сумма'!$J$6</c:f>
              <c:numCache>
                <c:formatCode>0.0%</c:formatCode>
                <c:ptCount val="1"/>
                <c:pt idx="0">
                  <c:v>0.45</c:v>
                </c:pt>
              </c:numCache>
            </c:numRef>
          </c:xVal>
          <c:yVal>
            <c:numRef>
              <c:f>'АВС Менеджеры сумма'!$K$6</c:f>
              <c:numCache>
                <c:formatCode>0.00%</c:formatCode>
                <c:ptCount val="1"/>
                <c:pt idx="0">
                  <c:v>0.950019051210697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192180"/>
        <c:axId val="134450279"/>
      </c:scatterChart>
      <c:valAx>
        <c:axId val="6731921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450279"/>
        <c:crosses val="autoZero"/>
        <c:crossBetween val="midCat"/>
      </c:valAx>
      <c:valAx>
        <c:axId val="13445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19218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>
        <c:manualLayout>
          <c:xMode val="edge"/>
          <c:yMode val="edge"/>
          <c:x val="0.818073464080615"/>
          <c:y val="0.122269960615825"/>
          <c:w val="0.178675912883303"/>
          <c:h val="0.46222699606158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9fd2f6-4586-4a47-b942-a0b6de9fb0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470171047142"/>
          <c:y val="0.126744186046512"/>
          <c:w val="0.622225698790154"/>
          <c:h val="0.8045514950166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'АВС Менеджеры сделки'!$E$23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сделки'!$D$24:$D$43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'АВС Менеджеры сделки'!$E$24:$E$43</c:f>
              <c:numCache>
                <c:formatCode>0.00%</c:formatCode>
                <c:ptCount val="20"/>
                <c:pt idx="0">
                  <c:v>0.340447154471545</c:v>
                </c:pt>
                <c:pt idx="1">
                  <c:v>0.5210027100271</c:v>
                </c:pt>
                <c:pt idx="2">
                  <c:v>0.638211382113821</c:v>
                </c:pt>
                <c:pt idx="3">
                  <c:v>0.708333333333333</c:v>
                </c:pt>
                <c:pt idx="4">
                  <c:v>0.761517615176152</c:v>
                </c:pt>
                <c:pt idx="5">
                  <c:v>0.801490514905149</c:v>
                </c:pt>
                <c:pt idx="6">
                  <c:v>0.835365853658537</c:v>
                </c:pt>
                <c:pt idx="7">
                  <c:v>0.865514905149052</c:v>
                </c:pt>
                <c:pt idx="8">
                  <c:v>0.890921409214092</c:v>
                </c:pt>
                <c:pt idx="9">
                  <c:v>0.912262872628726</c:v>
                </c:pt>
                <c:pt idx="10">
                  <c:v>0.932249322493225</c:v>
                </c:pt>
                <c:pt idx="11">
                  <c:v>0.948170731707317</c:v>
                </c:pt>
                <c:pt idx="12">
                  <c:v>0.962059620596206</c:v>
                </c:pt>
                <c:pt idx="13">
                  <c:v>0.972560975609756</c:v>
                </c:pt>
                <c:pt idx="14">
                  <c:v>0.981368563685637</c:v>
                </c:pt>
                <c:pt idx="15">
                  <c:v>0.986788617886179</c:v>
                </c:pt>
                <c:pt idx="16">
                  <c:v>0.991869918699187</c:v>
                </c:pt>
                <c:pt idx="17">
                  <c:v>0.994579945799458</c:v>
                </c:pt>
                <c:pt idx="18">
                  <c:v>0.997289972899729</c:v>
                </c:pt>
                <c:pt idx="1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'АВС Менеджеры сделки'!$I$2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1196606324297"/>
                  <c:y val="-0.0912659831664114"/>
                </c:manualLayout>
              </c:layout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ru-RU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200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t>y = x</a:t>
                    </a:r>
                    <a:endParaRPr sz="1200">
                      <a:solidFill>
                        <a:schemeClr val="accent6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'АВС Менеджеры сделки'!$H$3:$H$4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'АВС Менеджеры сделки'!$I$3:$I$4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3"/>
          <c:order val="2"/>
          <c:tx>
            <c:strRef>
              <c:f>'АВС Менеджеры сделки'!$I$6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335141337227496"/>
                  <c:y val="-0.03304001328241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ru-RU" sz="11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'АВС Менеджеры сделки'!$H$7:$H$8</c:f>
              <c:numCache>
                <c:formatCode>0.0%</c:formatCode>
                <c:ptCount val="2"/>
                <c:pt idx="0">
                  <c:v>0.25</c:v>
                </c:pt>
                <c:pt idx="1" c:formatCode="0%">
                  <c:v>1</c:v>
                </c:pt>
              </c:numCache>
            </c:numRef>
          </c:xVal>
          <c:yVal>
            <c:numRef>
              <c:f>'АВС Менеджеры сделки'!$I$7:$I$8</c:f>
              <c:numCache>
                <c:formatCode>0.00%</c:formatCode>
                <c:ptCount val="2"/>
                <c:pt idx="0">
                  <c:v>0.761517615176152</c:v>
                </c:pt>
                <c:pt idx="1" c:formatCode="0%">
                  <c:v>1</c:v>
                </c:pt>
              </c:numCache>
            </c:numRef>
          </c:yVal>
          <c:smooth val="0"/>
        </c:ser>
        <c:ser>
          <c:idx val="5"/>
          <c:order val="3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сделки'!$L$3:$L$4</c:f>
              <c:numCache>
                <c:formatCode>0.0%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'АВС Менеджеры сделки'!$M$3:$M$4</c:f>
              <c:numCache>
                <c:formatCode>0.00%</c:formatCode>
                <c:ptCount val="2"/>
                <c:pt idx="0">
                  <c:v>0.761517615176152</c:v>
                </c:pt>
                <c:pt idx="1" c:formatCode="0%">
                  <c:v>0</c:v>
                </c:pt>
              </c:numCache>
            </c:numRef>
          </c:yVal>
          <c:smooth val="0"/>
        </c:ser>
        <c:ser>
          <c:idx val="6"/>
          <c:order val="4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сделки'!$L$7:$L$8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'АВС Менеджеры сделки'!$M$7:$M$8</c:f>
              <c:numCache>
                <c:formatCode>0.00%</c:formatCode>
                <c:ptCount val="2"/>
                <c:pt idx="0">
                  <c:v>0.948170731707317</c:v>
                </c:pt>
                <c:pt idx="1" c:formatCode="0%">
                  <c:v>0</c:v>
                </c:pt>
              </c:numCache>
            </c:numRef>
          </c:yVal>
          <c:smooth val="0"/>
        </c:ser>
        <c:ser>
          <c:idx val="2"/>
          <c:order val="5"/>
          <c:tx>
            <c:strRef>
              <c:f>'АВС Менеджеры сделки'!$L$2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сделки'!$L$3</c:f>
              <c:numCache>
                <c:formatCode>0.0%</c:formatCode>
                <c:ptCount val="1"/>
                <c:pt idx="0">
                  <c:v>0.25</c:v>
                </c:pt>
              </c:numCache>
            </c:numRef>
          </c:xVal>
          <c:yVal>
            <c:numRef>
              <c:f>'АВС Менеджеры сделки'!$M$3</c:f>
              <c:numCache>
                <c:formatCode>0.00%</c:formatCode>
                <c:ptCount val="1"/>
                <c:pt idx="0">
                  <c:v>0.761517615176152</c:v>
                </c:pt>
              </c:numCache>
            </c:numRef>
          </c:yVal>
          <c:smooth val="0"/>
        </c:ser>
        <c:ser>
          <c:idx val="4"/>
          <c:order val="6"/>
          <c:tx>
            <c:strRef>
              <c:f>'АВС Менеджеры сделки'!$L$6</c:f>
              <c:strCache>
                <c:ptCount val="1"/>
                <c:pt idx="0">
                  <c:v>Xbc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FF00"/>
                </a:solidFill>
              </a:ln>
              <a:effectLst/>
            </c:spPr>
          </c:marker>
          <c:dLbls>
            <c:delete val="1"/>
          </c:dLbls>
          <c:xVal>
            <c:numRef>
              <c:f>'АВС Менеджеры сделки'!$L$7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'АВС Менеджеры сделки'!$M$7</c:f>
              <c:numCache>
                <c:formatCode>0.00%</c:formatCode>
                <c:ptCount val="1"/>
                <c:pt idx="0">
                  <c:v>0.948170731707317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414158"/>
        <c:axId val="500201344"/>
      </c:scatterChart>
      <c:valAx>
        <c:axId val="9634141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201344"/>
        <c:crosses val="autoZero"/>
        <c:crossBetween val="midCat"/>
      </c:valAx>
      <c:valAx>
        <c:axId val="5002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4141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c10d25-10cf-481e-9864-e00b0b52f5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55880</xdr:colOff>
      <xdr:row>0</xdr:row>
      <xdr:rowOff>635</xdr:rowOff>
    </xdr:from>
    <xdr:to>
      <xdr:col>5</xdr:col>
      <xdr:colOff>524510</xdr:colOff>
      <xdr:row>19</xdr:row>
      <xdr:rowOff>120650</xdr:rowOff>
    </xdr:to>
    <xdr:graphicFrame>
      <xdr:nvGraphicFramePr>
        <xdr:cNvPr id="2" name="Диаграмма 1"/>
        <xdr:cNvGraphicFramePr/>
      </xdr:nvGraphicFramePr>
      <xdr:xfrm>
        <a:off x="55880" y="635"/>
        <a:ext cx="5864860" cy="3625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</xdr:colOff>
      <xdr:row>0</xdr:row>
      <xdr:rowOff>122555</xdr:rowOff>
    </xdr:from>
    <xdr:to>
      <xdr:col>6</xdr:col>
      <xdr:colOff>429895</xdr:colOff>
      <xdr:row>19</xdr:row>
      <xdr:rowOff>106045</xdr:rowOff>
    </xdr:to>
    <xdr:graphicFrame>
      <xdr:nvGraphicFramePr>
        <xdr:cNvPr id="2" name="Диаграмма 1"/>
        <xdr:cNvGraphicFramePr/>
      </xdr:nvGraphicFramePr>
      <xdr:xfrm>
        <a:off x="5080" y="122555"/>
        <a:ext cx="6353810" cy="3489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>
      <xdr:nvSpPr>
        <xdr:cNvPr id="2" name="TextBox 1"/>
        <xdr:cNvSpPr txBox="1"/>
      </xdr:nvSpPr>
      <xdr:spPr>
        <a:xfrm>
          <a:off x="0" y="30480"/>
          <a:ext cx="8627110" cy="95313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  <a:endParaRPr lang="ru-RU" sz="1600" b="1" baseline="0">
            <a:solidFill>
              <a:srgbClr val="FF0000"/>
            </a:solidFill>
          </a:endParaRP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  <a:endParaRPr lang="ru-RU" sz="1600" b="1" baseline="0">
            <a:solidFill>
              <a:schemeClr val="accent6">
                <a:lumMod val="75000"/>
              </a:schemeClr>
            </a:solidFill>
          </a:endParaRP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>
      <xdr:nvSpPr>
        <xdr:cNvPr id="3" name="TextBox 2"/>
        <xdr:cNvSpPr txBox="1"/>
      </xdr:nvSpPr>
      <xdr:spPr>
        <a:xfrm>
          <a:off x="8093710" y="1064895"/>
          <a:ext cx="5539740" cy="135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>
      <xdr:nvSpPr>
        <xdr:cNvPr id="2" name="TextBox 1"/>
        <xdr:cNvSpPr txBox="1"/>
      </xdr:nvSpPr>
      <xdr:spPr>
        <a:xfrm>
          <a:off x="401320" y="2363470"/>
          <a:ext cx="4030980" cy="82486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>
      <xdr:nvSpPr>
        <xdr:cNvPr id="3" name="TextBox 2"/>
        <xdr:cNvSpPr txBox="1"/>
      </xdr:nvSpPr>
      <xdr:spPr>
        <a:xfrm>
          <a:off x="9399905" y="180975"/>
          <a:ext cx="2594610" cy="19907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8637962963" refreshedBy="hsl" recordCount="2952">
  <cacheSource type="worksheet">
    <worksheetSource ref="A1:D2953" sheet="Данные"/>
  </cacheSource>
  <cacheFields count="6">
    <cacheField name="ФИО менеджера" numFmtId="0">
      <sharedItems count="20">
        <s v="Иванова Анна Сергеевна"/>
        <s v="Кузнецов Максим Алексеевич"/>
        <s v="Лебедев Николай Олегович"/>
        <s v="Новикова Ольга Викторовна"/>
        <s v="Павлова Татьяна Сергеевна"/>
        <s v="Ткаченко Андрей Олегович"/>
        <s v="Фролов Сергей Викторович"/>
        <s v="Яковлев Артем Игоревич"/>
        <s v="Орлов Павел Денисович"/>
        <s v="Семенова Ирина Валерьевна"/>
        <s v="Васильева Дарья Павловна"/>
        <s v="Егоров Илья Александрович"/>
        <s v="Соколова Мария Ильинична"/>
        <s v="Михайлова Алина Романовна"/>
        <s v="Морозова Елена Андреевна"/>
        <s v="Попов Кирилл Денисович"/>
        <s v="Волков Дмитрий Романович"/>
        <s v="Смирнов Евгений Андреевич"/>
        <s v="Козлов Алексей Михайлович"/>
        <s v="Федорова Ксения Максимовна"/>
      </sharedItems>
    </cacheField>
    <cacheField name="ФИО клиента" numFmtId="0">
      <sharedItems count="237">
        <s v="Алексеев Александр Александрович"/>
        <s v="Лебедев Виктор Антонович"/>
        <s v="Новиков Максим Иванович"/>
        <s v="Соколова Дарья Максимовна"/>
        <s v="Андреев Николай Дмитриевич"/>
        <s v="Куликова Александра Дмитриевна"/>
        <s v="Романов Николай Кириллович"/>
        <s v="Алексеев Дмитрий Артемович"/>
        <s v="Андреев Илья Дмитриевич"/>
        <s v="Захарова Людмила Федоровна"/>
        <s v="Павлов Владимир Александрович"/>
        <s v="Павлов Николай Антонович"/>
        <s v="Ковалев Сергей Борисович"/>
        <s v="Морозова Анна Ильинична"/>
        <s v="Григорьева Ирина Антоновна"/>
        <s v="Андреева Алина Ивановна"/>
        <s v="Никитина Елена Юрьевна"/>
        <s v="Волкова Александра Алексеевна"/>
        <s v="Никитина Светлана Сергеевна"/>
        <s v="Алексеева Екатерина Андреевна"/>
        <s v="Козлов Артем Дмитриевич"/>
        <s v="Куликов Сергей Игоревич"/>
        <s v="Морозова Людмила Владимировна"/>
        <s v="Николаев Антон Ильич"/>
        <s v="Соколова Александра Андреевна"/>
        <s v="Соловьева Татьяна Антоновна"/>
        <s v="Захаров Федор Алексеевич"/>
        <s v="Зайцева Дарья Андреевна"/>
        <s v="Куликова Елена Николаевна"/>
        <s v="Григорьев Борис Андреевич"/>
        <s v="Комаров Михаил Викторович"/>
        <s v="Смирнов Алексей Артемович"/>
        <s v="Иванов Олег Борисович"/>
        <s v="Андреев Федор Сергеевич"/>
        <s v="Лебедев Максим Дмитриевич"/>
        <s v="Федоров Артем Романович"/>
        <s v="Федоров Борис Федорович"/>
        <s v="Козлова Дарья Федоровна"/>
        <s v="Макаров Дмитрий Игоревич"/>
        <s v="Соколова Анна Владимировна"/>
        <s v="Белов Павел Дмитриевич"/>
        <s v="Волков Евгений Сергеевич"/>
        <s v="Захаров Федор Евгеньевич"/>
        <s v="Николаева Дарья Ильинична"/>
        <s v="Яковлева Ольга Романовна"/>
        <s v="Андреев Михаил Ильич"/>
        <s v="Ковалева Наталья Ивановна"/>
        <s v="Козлова Ирина Федоровна"/>
        <s v="Кузнецов Игорь Алексеевич"/>
        <s v="Куликов Евгений Иванович"/>
        <s v="Федорова Надежда Викторовна"/>
        <s v="Воробьева Марина Сергеевна"/>
        <s v="Волков Кирилл Федорович"/>
        <s v="Васильева Надежда Денисовна"/>
        <s v="Семенова Алина Денисовна"/>
        <s v="Захаров Роман Романович"/>
        <s v="Куликов Денис Романович"/>
        <s v="Смирнова Валерия Викторовна"/>
        <s v="Алексеева Ксения Евгеньевна"/>
        <s v="Андреев Евгений Александрович"/>
        <s v="Степанов Федор Артемович"/>
        <s v="Яковлев Олег Кириллович"/>
        <s v="Романов Евгений Александрович"/>
        <s v="Алексеева Марина Евгеньевна"/>
        <s v="Кузнецова Мария Евгеньевна"/>
        <s v="Егоров Игорь Александрович"/>
        <s v="Павлова Людмила Михайловна"/>
        <s v="Смирнов Борис Владимирович"/>
        <s v="Захарова Екатерина Андреевна"/>
        <s v="Сидорова Виктория Алексеевна"/>
        <s v="Макарова Татьяна Михайловна"/>
        <s v="Семенова Людмила Александровна"/>
        <s v="Смирнов Илья Артемович"/>
        <s v="Соловьева Анастасия Андреевна"/>
        <s v="Семенов Олег Викторович"/>
        <s v="Смирнова Ирина Романовна"/>
        <s v="Степанов Максим Алексеевич"/>
        <s v="Сергеев Кирилл Викторович"/>
        <s v="Попова Мария Игоревна"/>
        <s v="Воробьев Евгений Николаевич"/>
        <s v="Сергеев Максим Алексеевич"/>
        <s v="Соколова Марина Ильинична"/>
        <s v="Сидорова Алина Максимовна"/>
        <s v="Романова Анна Алексеевна"/>
        <s v="Сидорова Ольга Сергеевна"/>
        <s v="Егорова Светлана Федоровна"/>
        <s v="Комарова Марина Михайловна"/>
        <s v="Николаева Софья Владимировна"/>
        <s v="Попов Михаил Романович"/>
        <s v="Григорьева Ирина Николаевна"/>
        <s v="Иванова Анастасия Евгеньевна"/>
        <s v="Федоров Кирилл Ильич"/>
        <s v="Петров Борис Евгеньевич"/>
        <s v="Новиков Владимир Александрович"/>
        <s v="Романова Наталья Евгеньевна"/>
        <s v="Козлова Мария Максимовна"/>
        <s v="Федоров Иван Александрович"/>
        <s v="Васильева Екатерина Андреевна"/>
        <s v="Орлов Дмитрий Викторович"/>
        <s v="Белов Роман Николаевич"/>
        <s v="Григорьев Виктор Павлович"/>
        <s v="Иванов Антон Дмитриевич"/>
        <s v="Белов Артем Олегович"/>
        <s v="Воробьев Максим Федорович"/>
        <s v="Орлов Денис Алексеевич"/>
        <s v="Михайлов Антон Артемович"/>
        <s v="Морозов Виктор Антонович"/>
        <s v="Борисова Виктория Романовна"/>
        <s v="Орлов Илья Михайлович"/>
        <s v="Яковлева Алина Евгеньевна"/>
        <s v="Николаев Вадим Владимирович"/>
        <s v="Комарова Наталья Денисовна"/>
        <s v="Смирнов Павел Алексеевич"/>
        <s v="Волкова Ольга Сергеевна"/>
        <s v="Попова Анастасия Ивановна"/>
        <s v="Николаев Степан Борисович"/>
        <s v="Семенов Денис Андреевич"/>
        <s v="Семенов Евгений Игоревич"/>
        <s v="Тарасова Светлана Владимировна"/>
        <s v="Орлова Светлана Максимовна"/>
        <s v="Лебедев Павел Михайлович"/>
        <s v="Морозов Павел Ильич"/>
        <s v="Никитина Юлия Александровна"/>
        <s v="Орлов Вадим Ильич"/>
        <s v="Куликов Алексей Олегович"/>
        <s v="Павлова Наталья Романовна"/>
        <s v="Сидорова Мария Денисовна"/>
        <s v="Никитина Марина Ильинична"/>
        <s v="Алексеев Антон Сергеевич"/>
        <s v="Иванов Юрий Борисович"/>
        <s v="Кузнецова Мария Юрьевна"/>
        <s v="Григорьев Антон Александрович"/>
        <s v="Степанов Максим Кириллович"/>
        <s v="Воробьева Алина Олеговна"/>
        <s v="Никитин Степан Денисович"/>
        <s v="Орлова Алина Алексеевна"/>
        <s v="Павлова Светлана Алексеевна"/>
        <s v="Семенова Полина Николаевна"/>
        <s v="Петров Николай Федорович"/>
        <s v="Макаров Дмитрий Олегович"/>
        <s v="Михайлова Юлия Сергеевна"/>
        <s v="Комаров Игорь Игоревич"/>
        <s v="Алексеева Александра Викторовна"/>
        <s v="Захарова Ксения Олеговна"/>
        <s v="Соколов Денис Викторович"/>
        <s v="Макаров Юрий Андреевич"/>
        <s v="Никитина Наталья Андреевна"/>
        <s v="Лебедева Екатерина Алексеевна"/>
        <s v="Тарасов Игорь Игоревич"/>
        <s v="Семенова Софья Ильинична"/>
        <s v="Белова Татьяна Николаевна"/>
        <s v="Новикова Наталья Олеговна"/>
        <s v="Степанов Кирилл Максимович"/>
        <s v="Белова Виктория Михайловна"/>
        <s v="Васильев Алексей Борисович"/>
        <s v="Павлова Елена Александровна"/>
        <s v="Ковалев Роман Борисович"/>
        <s v="Сергеева Светлана Владимировна"/>
        <s v="Ковалев Дмитрий Александрович"/>
        <s v="Алексеев Павел Борисович"/>
        <s v="Борисова Екатерина Михайловна"/>
        <s v="Семенова Полина Максимовна"/>
        <s v="Кузнецов Владимир Артемович"/>
        <s v="Орлова Татьяна Денисовна"/>
        <s v="Кузнецов Иван Николаевич"/>
        <s v="Комарова Ольга Ильинична"/>
        <s v="Николаев Александр Николаевич"/>
        <s v="Соколова Анастасия Дмитриевна"/>
        <s v="Тарасова Полина Владимировна"/>
        <s v="Баранов Иван Андреевич"/>
        <s v="Морозова Ирина Денисовна"/>
        <s v="Попов Роман Сергеевич"/>
        <s v="Иванова Алина Павловна"/>
        <s v="Семенов Павел Алексеевич"/>
        <s v="Смирнов Олег Борисович"/>
        <s v="Семенов Павел Игоревич"/>
        <s v="Николаев Артем Викторович"/>
        <s v="Соловьева Екатерина Игоревна"/>
        <s v="Сидоров Вадим Николаевич"/>
        <s v="Лебедева Анна Ивановна"/>
        <s v="Куликов Илья Борисович"/>
        <s v="Орлова Наталья Алексеевна"/>
        <s v="Новикова Полина Денисовна"/>
        <s v="Сидоров Артем Павлович"/>
        <s v="Соколова Анастасия Ивановна"/>
        <s v="Зайцева Марина Денисовна"/>
        <s v="Комарова Анна Михайловна"/>
        <s v="Михайлов Вадим Романович"/>
        <s v="Белова Валерия Юрьевна"/>
        <s v="Яковлева Алина Николаевна"/>
        <s v="Романов Антон Евгеньевич"/>
        <s v="Романова Елена Олеговна"/>
        <s v="Васильев Степан Дмитриевич"/>
        <s v="Алексеева Александра Евгеньевна"/>
        <s v="Алексеев Олег Артемович"/>
        <s v="Козлов Александр Антонович"/>
        <s v="Иванов Александр Максимович"/>
        <s v="Баранов Антон Павлович"/>
        <s v="Сидорова Алина Игоревна"/>
        <s v="Николаева Марина Владимировна"/>
        <s v="Смирнов Михаил Николаевич"/>
        <s v="Андреева Екатерина Игоревна"/>
        <s v="Зайцев Вадим Денисович"/>
        <s v="Николаев Алексей Федорович"/>
        <s v="Белов Александр Федорович"/>
        <s v="Морозов Роман Артемович"/>
        <s v="Орлова Дарья Денисовна"/>
        <s v="Попов Вадим Дмитриевич"/>
        <s v="Козлова Ирина Евгеньевна"/>
        <s v="Лебедева Ирина Михайловна"/>
        <s v="Волкова Юлия Алексеевна"/>
        <s v="Сергеев Борис Артемович"/>
        <s v="Волкова Виктория Ивановна"/>
        <s v="Ковалев Кирилл Игоревич"/>
        <s v="Павлова Полина Павловна"/>
        <s v="Сергеев Дмитрий Федорович"/>
        <s v="Сергеева Екатерина Андреевна"/>
        <s v="Смирнова Екатерина Романовна"/>
        <s v="Федорова Софья Дмитриевна"/>
        <s v="Сидорова Людмила Сергеевна"/>
        <s v="Морозов Евгений Антонович"/>
        <s v="Алексеев Артем Антонович"/>
        <s v="Васильева Юлия Алексеевна"/>
        <s v="Алексеева Юлия Николаевна"/>
        <s v="Тарасов Роман Викторович"/>
        <s v="Захаров Евгений Владимирович"/>
        <s v="Романова Валерия Александровна"/>
        <s v="Куликов Дмитрий Антонович"/>
        <s v="Романова Анна Дмитриевна"/>
        <s v="Орлова Дарья Алексеевна"/>
        <s v="Волкова Юлия Максимовна"/>
        <s v="Семенова Валерия Антоновна"/>
        <s v="Васильев Дмитрий Александрович"/>
        <s v="Соловьева Виктория Андреевна"/>
        <s v="Яковлева Анна Олеговна"/>
        <s v="Зайцев Михаил Артемович"/>
        <s v="Алексеева Дарья Денисовна"/>
      </sharedItems>
    </cacheField>
    <cacheField name="Дата сделки" numFmtId="0">
      <sharedItems containsSemiMixedTypes="0" containsString="0" containsNonDate="0" containsDate="1" minDate="2026-01-01T00:00:00" maxDate="2026-08-3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base="2">
        <rangePr groupBy="months" startDate="2026-01-01T00:00:00" endDate="2026-08-31T00:00:00" groupInterval="1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1/2026"/>
        </groupItems>
      </fieldGroup>
    </cacheField>
    <cacheField name="Сумма сделки" numFmtId="3">
      <sharedItems containsSemiMixedTypes="0" containsString="0" containsNumber="1" containsInteger="1" minValue="5200" maxValue="65183" count="2808">
        <n v="37003"/>
        <n v="20731"/>
        <n v="14854"/>
        <n v="31491"/>
        <n v="7639"/>
        <n v="5699"/>
        <n v="29072"/>
        <n v="41314"/>
        <n v="47734"/>
        <n v="50358"/>
        <n v="33577"/>
        <n v="50091"/>
        <n v="39985"/>
        <n v="13379"/>
        <n v="6790"/>
        <n v="22384"/>
        <n v="23117"/>
        <n v="38679"/>
        <n v="44229"/>
        <n v="24734"/>
        <n v="43976"/>
        <n v="49603"/>
        <n v="33895"/>
        <n v="46943"/>
        <n v="40930"/>
        <n v="50394"/>
        <n v="13057"/>
        <n v="22696"/>
        <n v="19490"/>
        <n v="22701"/>
        <n v="21677"/>
        <n v="46832"/>
        <n v="15835"/>
        <n v="25833"/>
        <n v="34908"/>
        <n v="35367"/>
        <n v="33782"/>
        <n v="40482"/>
        <n v="40351"/>
        <n v="53128"/>
        <n v="30596"/>
        <n v="29549"/>
        <n v="9765"/>
        <n v="34937"/>
        <n v="20947"/>
        <n v="31538"/>
        <n v="51073"/>
        <n v="39224"/>
        <n v="38384"/>
        <n v="52383"/>
        <n v="32026"/>
        <n v="53138"/>
        <n v="43948"/>
        <n v="38838"/>
        <n v="28892"/>
        <n v="15705"/>
        <n v="28110"/>
        <n v="22340"/>
        <n v="35007"/>
        <n v="35778"/>
        <n v="41252"/>
        <n v="36875"/>
        <n v="42038"/>
        <n v="36207"/>
        <n v="32440"/>
        <n v="17831"/>
        <n v="30883"/>
        <n v="30018"/>
        <n v="9483"/>
        <n v="5516"/>
        <n v="18655"/>
        <n v="19624"/>
        <n v="20831"/>
        <n v="37861"/>
        <n v="34947"/>
        <n v="40098"/>
        <n v="32490"/>
        <n v="36522"/>
        <n v="49231"/>
        <n v="49785"/>
        <n v="35610"/>
        <n v="18707"/>
        <n v="16292"/>
        <n v="13663"/>
        <n v="13940"/>
        <n v="24476"/>
        <n v="35800"/>
        <n v="24874"/>
        <n v="40073"/>
        <n v="42771"/>
        <n v="40683"/>
        <n v="38922"/>
        <n v="37895"/>
        <n v="34984"/>
        <n v="44767"/>
        <n v="20788"/>
        <n v="27092"/>
        <n v="24594"/>
        <n v="37884"/>
        <n v="34835"/>
        <n v="28500"/>
        <n v="43551"/>
        <n v="42890"/>
        <n v="27253"/>
        <n v="42943"/>
        <n v="34632"/>
        <n v="15468"/>
        <n v="19987"/>
        <n v="13702"/>
        <n v="29281"/>
        <n v="31616"/>
        <n v="29917"/>
        <n v="41462"/>
        <n v="48881"/>
        <n v="32386"/>
        <n v="36939"/>
        <n v="11944"/>
        <n v="10036"/>
        <n v="36817"/>
        <n v="13538"/>
        <n v="33468"/>
        <n v="16209"/>
        <n v="17661"/>
        <n v="17215"/>
        <n v="41187"/>
        <n v="36340"/>
        <n v="47720"/>
        <n v="38952"/>
        <n v="43878"/>
        <n v="25749"/>
        <n v="29441"/>
        <n v="11034"/>
        <n v="16751"/>
        <n v="13780"/>
        <n v="14563"/>
        <n v="36413"/>
        <n v="39297"/>
        <n v="32006"/>
        <n v="38602"/>
        <n v="42688"/>
        <n v="29566"/>
        <n v="11366"/>
        <n v="36663"/>
        <n v="19634"/>
        <n v="37188"/>
        <n v="54926"/>
        <n v="35496"/>
        <n v="32031"/>
        <n v="30889"/>
        <n v="39996"/>
        <n v="41737"/>
        <n v="45992"/>
        <n v="14866"/>
        <n v="24264"/>
        <n v="46087"/>
        <n v="30960"/>
        <n v="40031"/>
        <n v="31036"/>
        <n v="30175"/>
        <n v="44293"/>
        <n v="37460"/>
        <n v="47462"/>
        <n v="36888"/>
        <n v="33356"/>
        <n v="38311"/>
        <n v="30117"/>
        <n v="29669"/>
        <n v="36211"/>
        <n v="15339"/>
        <n v="12836"/>
        <n v="5200"/>
        <n v="9708"/>
        <n v="15691"/>
        <n v="39117"/>
        <n v="19117"/>
        <n v="24440"/>
        <n v="8611"/>
        <n v="28452"/>
        <n v="28746"/>
        <n v="36787"/>
        <n v="37318"/>
        <n v="5466"/>
        <n v="14949"/>
        <n v="21651"/>
        <n v="30265"/>
        <n v="28353"/>
        <n v="26211"/>
        <n v="46165"/>
        <n v="34457"/>
        <n v="59095"/>
        <n v="32815"/>
        <n v="45762"/>
        <n v="41111"/>
        <n v="37214"/>
        <n v="47820"/>
        <n v="48229"/>
        <n v="41572"/>
        <n v="13953"/>
        <n v="16185"/>
        <n v="5904"/>
        <n v="14087"/>
        <n v="47213"/>
        <n v="38003"/>
        <n v="30375"/>
        <n v="43694"/>
        <n v="48550"/>
        <n v="44703"/>
        <n v="30908"/>
        <n v="41797"/>
        <n v="53227"/>
        <n v="40721"/>
        <n v="38690"/>
        <n v="35466"/>
        <n v="38895"/>
        <n v="49766"/>
        <n v="15335"/>
        <n v="31161"/>
        <n v="25686"/>
        <n v="17488"/>
        <n v="36137"/>
        <n v="27049"/>
        <n v="26411"/>
        <n v="40404"/>
        <n v="37010"/>
        <n v="29439"/>
        <n v="37594"/>
        <n v="32043"/>
        <n v="39112"/>
        <n v="55801"/>
        <n v="30346"/>
        <n v="39394"/>
        <n v="35814"/>
        <n v="32852"/>
        <n v="18426"/>
        <n v="16723"/>
        <n v="32600"/>
        <n v="29784"/>
        <n v="41546"/>
        <n v="25671"/>
        <n v="28042"/>
        <n v="44484"/>
        <n v="34176"/>
        <n v="37633"/>
        <n v="15130"/>
        <n v="17044"/>
        <n v="16440"/>
        <n v="28958"/>
        <n v="30646"/>
        <n v="16873"/>
        <n v="19151"/>
        <n v="10903"/>
        <n v="22591"/>
        <n v="26192"/>
        <n v="33362"/>
        <n v="39472"/>
        <n v="34747"/>
        <n v="49821"/>
        <n v="49485"/>
        <n v="47556"/>
        <n v="37293"/>
        <n v="40624"/>
        <n v="18279"/>
        <n v="40884"/>
        <n v="33358"/>
        <n v="12274"/>
        <n v="20737"/>
        <n v="28395"/>
        <n v="42448"/>
        <n v="24484"/>
        <n v="6707"/>
        <n v="23284"/>
        <n v="31878"/>
        <n v="30444"/>
        <n v="52867"/>
        <n v="60449"/>
        <n v="16097"/>
        <n v="44520"/>
        <n v="42419"/>
        <n v="37320"/>
        <n v="38132"/>
        <n v="38829"/>
        <n v="49247"/>
        <n v="23879"/>
        <n v="28370"/>
        <n v="51696"/>
        <n v="13830"/>
        <n v="9960"/>
        <n v="23845"/>
        <n v="16301"/>
        <n v="17823"/>
        <n v="36165"/>
        <n v="36511"/>
        <n v="38857"/>
        <n v="46477"/>
        <n v="33713"/>
        <n v="38067"/>
        <n v="6461"/>
        <n v="38852"/>
        <n v="15109"/>
        <n v="25134"/>
        <n v="23848"/>
        <n v="24939"/>
        <n v="51204"/>
        <n v="44325"/>
        <n v="49527"/>
        <n v="40339"/>
        <n v="45609"/>
        <n v="31606"/>
        <n v="35533"/>
        <n v="15016"/>
        <n v="15782"/>
        <n v="29726"/>
        <n v="23960"/>
        <n v="27096"/>
        <n v="28201"/>
        <n v="39129"/>
        <n v="23918"/>
        <n v="56598"/>
        <n v="36686"/>
        <n v="35125"/>
        <n v="43125"/>
        <n v="22645"/>
        <n v="16749"/>
        <n v="26923"/>
        <n v="30791"/>
        <n v="49574"/>
        <n v="14409"/>
        <n v="22925"/>
        <n v="11716"/>
        <n v="45312"/>
        <n v="38553"/>
        <n v="39002"/>
        <n v="47886"/>
        <n v="61837"/>
        <n v="31921"/>
        <n v="35908"/>
        <n v="11231"/>
        <n v="27601"/>
        <n v="31192"/>
        <n v="24104"/>
        <n v="51530"/>
        <n v="46177"/>
        <n v="37922"/>
        <n v="38456"/>
        <n v="40170"/>
        <n v="46719"/>
        <n v="34298"/>
        <n v="18939"/>
        <n v="30833"/>
        <n v="21301"/>
        <n v="25769"/>
        <n v="31466"/>
        <n v="44173"/>
        <n v="43595"/>
        <n v="45611"/>
        <n v="39174"/>
        <n v="49800"/>
        <n v="53200"/>
        <n v="33169"/>
        <n v="48692"/>
        <n v="10203"/>
        <n v="53306"/>
        <n v="27499"/>
        <n v="27893"/>
        <n v="19261"/>
        <n v="21489"/>
        <n v="28570"/>
        <n v="24115"/>
        <n v="15050"/>
        <n v="31277"/>
        <n v="25800"/>
        <n v="33522"/>
        <n v="42779"/>
        <n v="10132"/>
        <n v="6939"/>
        <n v="15674"/>
        <n v="22553"/>
        <n v="6195"/>
        <n v="31820"/>
        <n v="41612"/>
        <n v="46141"/>
        <n v="32726"/>
        <n v="37421"/>
        <n v="17095"/>
        <n v="18348"/>
        <n v="30759"/>
        <n v="23166"/>
        <n v="35950"/>
        <n v="21480"/>
        <n v="12245"/>
        <n v="16804"/>
        <n v="18035"/>
        <n v="16233"/>
        <n v="17322"/>
        <n v="21410"/>
        <n v="34615"/>
        <n v="28624"/>
        <n v="36752"/>
        <n v="23289"/>
        <n v="16531"/>
        <n v="28254"/>
        <n v="15006"/>
        <n v="21904"/>
        <n v="35571"/>
        <n v="47261"/>
        <n v="36490"/>
        <n v="39398"/>
        <n v="36025"/>
        <n v="32946"/>
        <n v="33357"/>
        <n v="13870"/>
        <n v="13555"/>
        <n v="30629"/>
        <n v="33254"/>
        <n v="8770"/>
        <n v="32104"/>
        <n v="15240"/>
        <n v="43070"/>
        <n v="18618"/>
        <n v="14944"/>
        <n v="30493"/>
        <n v="28253"/>
        <n v="23871"/>
        <n v="35430"/>
        <n v="34417"/>
        <n v="49749"/>
        <n v="51384"/>
        <n v="34361"/>
        <n v="26795"/>
        <n v="25950"/>
        <n v="42291"/>
        <n v="35733"/>
        <n v="26048"/>
        <n v="43798"/>
        <n v="19849"/>
        <n v="12286"/>
        <n v="9695"/>
        <n v="44903"/>
        <n v="32692"/>
        <n v="31966"/>
        <n v="33880"/>
        <n v="39866"/>
        <n v="42722"/>
        <n v="46788"/>
        <n v="48220"/>
        <n v="54384"/>
        <n v="33853"/>
        <n v="52727"/>
        <n v="34884"/>
        <n v="13184"/>
        <n v="24990"/>
        <n v="30751"/>
        <n v="31655"/>
        <n v="27789"/>
        <n v="36920"/>
        <n v="42990"/>
        <n v="44612"/>
        <n v="47816"/>
        <n v="39779"/>
        <n v="19383"/>
        <n v="26818"/>
        <n v="40163"/>
        <n v="41504"/>
        <n v="35061"/>
        <n v="43443"/>
        <n v="32472"/>
        <n v="43593"/>
        <n v="41902"/>
        <n v="50112"/>
        <n v="50345"/>
        <n v="44330"/>
        <n v="24889"/>
        <n v="24025"/>
        <n v="31262"/>
        <n v="30865"/>
        <n v="56696"/>
        <n v="40731"/>
        <n v="41407"/>
        <n v="33204"/>
        <n v="54029"/>
        <n v="32404"/>
        <n v="23596"/>
        <n v="18332"/>
        <n v="13309"/>
        <n v="12055"/>
        <n v="23733"/>
        <n v="22710"/>
        <n v="20415"/>
        <n v="44952"/>
        <n v="29885"/>
        <n v="43699"/>
        <n v="40360"/>
        <n v="46651"/>
        <n v="48465"/>
        <n v="41379"/>
        <n v="17890"/>
        <n v="36408"/>
        <n v="19500"/>
        <n v="34376"/>
        <n v="32677"/>
        <n v="23407"/>
        <n v="24918"/>
        <n v="26118"/>
        <n v="36201"/>
        <n v="38259"/>
        <n v="52084"/>
        <n v="36999"/>
        <n v="46592"/>
        <n v="17022"/>
        <n v="29360"/>
        <n v="17272"/>
        <n v="25011"/>
        <n v="41031"/>
        <n v="37127"/>
        <n v="32953"/>
        <n v="48403"/>
        <n v="19501"/>
        <n v="46381"/>
        <n v="38524"/>
        <n v="47258"/>
        <n v="46955"/>
        <n v="39191"/>
        <n v="44796"/>
        <n v="35402"/>
        <n v="38899"/>
        <n v="40229"/>
        <n v="42627"/>
        <n v="28092"/>
        <n v="18548"/>
        <n v="26588"/>
        <n v="18526"/>
        <n v="27480"/>
        <n v="31135"/>
        <n v="34763"/>
        <n v="50020"/>
        <n v="36026"/>
        <n v="48023"/>
        <n v="47660"/>
        <n v="15031"/>
        <n v="15704"/>
        <n v="15437"/>
        <n v="19479"/>
        <n v="23207"/>
        <n v="36126"/>
        <n v="28443"/>
        <n v="32866"/>
        <n v="31791"/>
        <n v="29429"/>
        <n v="38771"/>
        <n v="41982"/>
        <n v="31056"/>
        <n v="47826"/>
        <n v="21440"/>
        <n v="22006"/>
        <n v="22652"/>
        <n v="28811"/>
        <n v="34710"/>
        <n v="42443"/>
        <n v="49509"/>
        <n v="37772"/>
        <n v="37809"/>
        <n v="26555"/>
        <n v="25330"/>
        <n v="23597"/>
        <n v="28995"/>
        <n v="16889"/>
        <n v="5956"/>
        <n v="29245"/>
        <n v="39522"/>
        <n v="52685"/>
        <n v="45022"/>
        <n v="23433"/>
        <n v="44518"/>
        <n v="33508"/>
        <n v="14005"/>
        <n v="12952"/>
        <n v="17646"/>
        <n v="14314"/>
        <n v="35105"/>
        <n v="40050"/>
        <n v="47941"/>
        <n v="34449"/>
        <n v="40770"/>
        <n v="31063"/>
        <n v="30807"/>
        <n v="28415"/>
        <n v="12855"/>
        <n v="18454"/>
        <n v="23865"/>
        <n v="24344"/>
        <n v="39664"/>
        <n v="49201"/>
        <n v="32995"/>
        <n v="44940"/>
        <n v="31825"/>
        <n v="8143"/>
        <n v="26644"/>
        <n v="38340"/>
        <n v="54709"/>
        <n v="17958"/>
        <n v="31678"/>
        <n v="26311"/>
        <n v="17955"/>
        <n v="29852"/>
        <n v="33373"/>
        <n v="32447"/>
        <n v="53109"/>
        <n v="46841"/>
        <n v="45626"/>
        <n v="8184"/>
        <n v="21569"/>
        <n v="14745"/>
        <n v="20659"/>
        <n v="44956"/>
        <n v="25708"/>
        <n v="44543"/>
        <n v="28578"/>
        <n v="37974"/>
        <n v="52519"/>
        <n v="29583"/>
        <n v="37617"/>
        <n v="40127"/>
        <n v="27036"/>
        <n v="31692"/>
        <n v="15179"/>
        <n v="20715"/>
        <n v="21913"/>
        <n v="26097"/>
        <n v="26877"/>
        <n v="29446"/>
        <n v="47564"/>
        <n v="27493"/>
        <n v="29585"/>
        <n v="38256"/>
        <n v="46734"/>
        <n v="36711"/>
        <n v="44842"/>
        <n v="38068"/>
        <n v="39120"/>
        <n v="52110"/>
        <n v="46575"/>
        <n v="15188"/>
        <n v="36294"/>
        <n v="29366"/>
        <n v="22123"/>
        <n v="14661"/>
        <n v="27867"/>
        <n v="26392"/>
        <n v="27614"/>
        <n v="27186"/>
        <n v="38781"/>
        <n v="31032"/>
        <n v="54635"/>
        <n v="23323"/>
        <n v="34775"/>
        <n v="31416"/>
        <n v="13838"/>
        <n v="14764"/>
        <n v="24288"/>
        <n v="57738"/>
        <n v="52313"/>
        <n v="36017"/>
        <n v="34923"/>
        <n v="37138"/>
        <n v="45458"/>
        <n v="47582"/>
        <n v="33124"/>
        <n v="20311"/>
        <n v="23519"/>
        <n v="26236"/>
        <n v="36508"/>
        <n v="25818"/>
        <n v="41586"/>
        <n v="54213"/>
        <n v="47909"/>
        <n v="44456"/>
        <n v="38552"/>
        <n v="13242"/>
        <n v="19667"/>
        <n v="24915"/>
        <n v="29643"/>
        <n v="41658"/>
        <n v="36253"/>
        <n v="50699"/>
        <n v="43836"/>
        <n v="36326"/>
        <n v="28887"/>
        <n v="14014"/>
        <n v="15314"/>
        <n v="11895"/>
        <n v="8907"/>
        <n v="37661"/>
        <n v="15946"/>
        <n v="23417"/>
        <n v="27170"/>
        <n v="32874"/>
        <n v="39388"/>
        <n v="45368"/>
        <n v="31490"/>
        <n v="45176"/>
        <n v="30654"/>
        <n v="51286"/>
        <n v="46553"/>
        <n v="24041"/>
        <n v="37546"/>
        <n v="23463"/>
        <n v="10847"/>
        <n v="14461"/>
        <n v="32856"/>
        <n v="27881"/>
        <n v="34582"/>
        <n v="45171"/>
        <n v="45723"/>
        <n v="35757"/>
        <n v="38846"/>
        <n v="37226"/>
        <n v="40499"/>
        <n v="38615"/>
        <n v="38269"/>
        <n v="22792"/>
        <n v="30108"/>
        <n v="17856"/>
        <n v="12524"/>
        <n v="9063"/>
        <n v="13014"/>
        <n v="7199"/>
        <n v="16234"/>
        <n v="31656"/>
        <n v="13682"/>
        <n v="26770"/>
        <n v="39446"/>
        <n v="32074"/>
        <n v="25480"/>
        <n v="41698"/>
        <n v="32959"/>
        <n v="34840"/>
        <n v="28207"/>
        <n v="24639"/>
        <n v="48232"/>
        <n v="39850"/>
        <n v="37154"/>
        <n v="38803"/>
        <n v="42451"/>
        <n v="47036"/>
        <n v="31910"/>
        <n v="35320"/>
        <n v="25679"/>
        <n v="45962"/>
        <n v="18578"/>
        <n v="18932"/>
        <n v="20502"/>
        <n v="22647"/>
        <n v="31744"/>
        <n v="47605"/>
        <n v="40487"/>
        <n v="32140"/>
        <n v="31212"/>
        <n v="39867"/>
        <n v="27891"/>
        <n v="24265"/>
        <n v="29044"/>
        <n v="34646"/>
        <n v="19954"/>
        <n v="12897"/>
        <n v="20973"/>
        <n v="13778"/>
        <n v="27836"/>
        <n v="49558"/>
        <n v="38341"/>
        <n v="48586"/>
        <n v="47357"/>
        <n v="45059"/>
        <n v="37461"/>
        <n v="19371"/>
        <n v="27316"/>
        <n v="14010"/>
        <n v="30067"/>
        <n v="34809"/>
        <n v="32171"/>
        <n v="39977"/>
        <n v="33157"/>
        <n v="49412"/>
        <n v="30416"/>
        <n v="29141"/>
        <n v="41777"/>
        <n v="24930"/>
        <n v="24103"/>
        <n v="24204"/>
        <n v="12018"/>
        <n v="22758"/>
        <n v="25637"/>
        <n v="34894"/>
        <n v="28932"/>
        <n v="33514"/>
        <n v="40996"/>
        <n v="50739"/>
        <n v="38221"/>
        <n v="39368"/>
        <n v="33726"/>
        <n v="38927"/>
        <n v="27779"/>
        <n v="40343"/>
        <n v="13681"/>
        <n v="15621"/>
        <n v="14542"/>
        <n v="33629"/>
        <n v="31705"/>
        <n v="40438"/>
        <n v="40133"/>
        <n v="19007"/>
        <n v="12198"/>
        <n v="12378"/>
        <n v="11354"/>
        <n v="23221"/>
        <n v="14367"/>
        <n v="30551"/>
        <n v="32293"/>
        <n v="35885"/>
        <n v="22397"/>
        <n v="38453"/>
        <n v="57893"/>
        <n v="35283"/>
        <n v="29592"/>
        <n v="36312"/>
        <n v="44700"/>
        <n v="29154"/>
        <n v="60102"/>
        <n v="43210"/>
        <n v="54447"/>
        <n v="14813"/>
        <n v="14635"/>
        <n v="28296"/>
        <n v="14416"/>
        <n v="13531"/>
        <n v="46789"/>
        <n v="30289"/>
        <n v="25809"/>
        <n v="31620"/>
        <n v="55407"/>
        <n v="34618"/>
        <n v="28635"/>
        <n v="51478"/>
        <n v="12935"/>
        <n v="11199"/>
        <n v="25218"/>
        <n v="27248"/>
        <n v="17441"/>
        <n v="18674"/>
        <n v="27849"/>
        <n v="13380"/>
        <n v="33419"/>
        <n v="51002"/>
        <n v="56900"/>
        <n v="41268"/>
        <n v="7311"/>
        <n v="36562"/>
        <n v="16323"/>
        <n v="19529"/>
        <n v="13579"/>
        <n v="48252"/>
        <n v="32041"/>
        <n v="30052"/>
        <n v="36420"/>
        <n v="37152"/>
        <n v="13576"/>
        <n v="14636"/>
        <n v="28565"/>
        <n v="32584"/>
        <n v="25193"/>
        <n v="27851"/>
        <n v="44040"/>
        <n v="40704"/>
        <n v="56456"/>
        <n v="34876"/>
        <n v="38727"/>
        <n v="17402"/>
        <n v="26033"/>
        <n v="39201"/>
        <n v="43025"/>
        <n v="29627"/>
        <n v="24833"/>
        <n v="30472"/>
        <n v="33970"/>
        <n v="28057"/>
        <n v="43052"/>
        <n v="42175"/>
        <n v="44447"/>
        <n v="34075"/>
        <n v="15278"/>
        <n v="17009"/>
        <n v="11003"/>
        <n v="36712"/>
        <n v="37881"/>
        <n v="17061"/>
        <n v="16669"/>
        <n v="14524"/>
        <n v="23147"/>
        <n v="32814"/>
        <n v="35863"/>
        <n v="37589"/>
        <n v="48670"/>
        <n v="37957"/>
        <n v="48784"/>
        <n v="45836"/>
        <n v="35127"/>
        <n v="36605"/>
        <n v="11154"/>
        <n v="18938"/>
        <n v="27914"/>
        <n v="22345"/>
        <n v="29662"/>
        <n v="24039"/>
        <n v="35026"/>
        <n v="29001"/>
        <n v="34954"/>
        <n v="36919"/>
        <n v="41041"/>
        <n v="49607"/>
        <n v="18338"/>
        <n v="21589"/>
        <n v="11990"/>
        <n v="32909"/>
        <n v="24945"/>
        <n v="34732"/>
        <n v="10574"/>
        <n v="49340"/>
        <n v="44671"/>
        <n v="55838"/>
        <n v="27447"/>
        <n v="27458"/>
        <n v="26792"/>
        <n v="35225"/>
        <n v="34141"/>
        <n v="42834"/>
        <n v="36124"/>
        <n v="29015"/>
        <n v="15556"/>
        <n v="21758"/>
        <n v="23188"/>
        <n v="60915"/>
        <n v="45188"/>
        <n v="26775"/>
        <n v="36356"/>
        <n v="36269"/>
        <n v="39139"/>
        <n v="40043"/>
        <n v="35034"/>
        <n v="29694"/>
        <n v="32830"/>
        <n v="31522"/>
        <n v="52536"/>
        <n v="41130"/>
        <n v="41035"/>
        <n v="39024"/>
        <n v="29719"/>
        <n v="12971"/>
        <n v="11507"/>
        <n v="13578"/>
        <n v="24227"/>
        <n v="23497"/>
        <n v="15773"/>
        <n v="8424"/>
        <n v="41237"/>
        <n v="34139"/>
        <n v="33997"/>
        <n v="44158"/>
        <n v="37508"/>
        <n v="47649"/>
        <n v="37840"/>
        <n v="30402"/>
        <n v="25650"/>
        <n v="27887"/>
        <n v="22114"/>
        <n v="34656"/>
        <n v="40970"/>
        <n v="53720"/>
        <n v="25579"/>
        <n v="42129"/>
        <n v="27169"/>
        <n v="37069"/>
        <n v="32803"/>
        <n v="33035"/>
        <n v="44611"/>
        <n v="15828"/>
        <n v="13776"/>
        <n v="25186"/>
        <n v="25138"/>
        <n v="24921"/>
        <n v="52999"/>
        <n v="35057"/>
        <n v="39437"/>
        <n v="12189"/>
        <n v="23861"/>
        <n v="18762"/>
        <n v="13721"/>
        <n v="24496"/>
        <n v="51170"/>
        <n v="40846"/>
        <n v="34050"/>
        <n v="38673"/>
        <n v="43504"/>
        <n v="45318"/>
        <n v="16557"/>
        <n v="37009"/>
        <n v="14035"/>
        <n v="19451"/>
        <n v="16438"/>
        <n v="28195"/>
        <n v="44669"/>
        <n v="30126"/>
        <n v="31944"/>
        <n v="44280"/>
        <n v="37046"/>
        <n v="17325"/>
        <n v="8067"/>
        <n v="23770"/>
        <n v="15843"/>
        <n v="28703"/>
        <n v="35284"/>
        <n v="44514"/>
        <n v="39966"/>
        <n v="41366"/>
        <n v="23295"/>
        <n v="28673"/>
        <n v="52333"/>
        <n v="40175"/>
        <n v="42246"/>
        <n v="56476"/>
        <n v="8548"/>
        <n v="15635"/>
        <n v="21434"/>
        <n v="41356"/>
        <n v="38162"/>
        <n v="27478"/>
        <n v="52655"/>
        <n v="46831"/>
        <n v="11262"/>
        <n v="30431"/>
        <n v="19862"/>
        <n v="16742"/>
        <n v="33310"/>
        <n v="38815"/>
        <n v="43461"/>
        <n v="31528"/>
        <n v="30492"/>
        <n v="27560"/>
        <n v="31750"/>
        <n v="37286"/>
        <n v="44410"/>
        <n v="22923"/>
        <n v="12659"/>
        <n v="29881"/>
        <n v="35843"/>
        <n v="31294"/>
        <n v="9278"/>
        <n v="10001"/>
        <n v="36110"/>
        <n v="29186"/>
        <n v="21160"/>
        <n v="23359"/>
        <n v="16317"/>
        <n v="37252"/>
        <n v="23246"/>
        <n v="13994"/>
        <n v="15359"/>
        <n v="31030"/>
        <n v="44277"/>
        <n v="33707"/>
        <n v="32991"/>
        <n v="42212"/>
        <n v="31464"/>
        <n v="14957"/>
        <n v="27210"/>
        <n v="11661"/>
        <n v="32205"/>
        <n v="26963"/>
        <n v="39951"/>
        <n v="46967"/>
        <n v="50166"/>
        <n v="43920"/>
        <n v="41859"/>
        <n v="45441"/>
        <n v="37865"/>
        <n v="43961"/>
        <n v="39670"/>
        <n v="12602"/>
        <n v="13351"/>
        <n v="12544"/>
        <n v="17415"/>
        <n v="41979"/>
        <n v="27185"/>
        <n v="35993"/>
        <n v="46331"/>
        <n v="55596"/>
        <n v="28983"/>
        <n v="37872"/>
        <n v="58552"/>
        <n v="45472"/>
        <n v="16316"/>
        <n v="21598"/>
        <n v="25278"/>
        <n v="49187"/>
        <n v="38376"/>
        <n v="45606"/>
        <n v="47893"/>
        <n v="8563"/>
        <n v="56994"/>
        <n v="21820"/>
        <n v="21644"/>
        <n v="6907"/>
        <n v="6662"/>
        <n v="26641"/>
        <n v="27082"/>
        <n v="22729"/>
        <n v="14653"/>
        <n v="39352"/>
        <n v="26083"/>
        <n v="47482"/>
        <n v="50732"/>
        <n v="40852"/>
        <n v="40596"/>
        <n v="9943"/>
        <n v="33699"/>
        <n v="13671"/>
        <n v="25188"/>
        <n v="29253"/>
        <n v="41942"/>
        <n v="30894"/>
        <n v="47415"/>
        <n v="40516"/>
        <n v="49316"/>
        <n v="32092"/>
        <n v="15551"/>
        <n v="12973"/>
        <n v="28774"/>
        <n v="37326"/>
        <n v="19397"/>
        <n v="31737"/>
        <n v="27073"/>
        <n v="36084"/>
        <n v="48669"/>
        <n v="50245"/>
        <n v="16628"/>
        <n v="14407"/>
        <n v="14513"/>
        <n v="29477"/>
        <n v="57420"/>
        <n v="33444"/>
        <n v="49384"/>
        <n v="47748"/>
        <n v="50451"/>
        <n v="36414"/>
        <n v="50335"/>
        <n v="52835"/>
        <n v="53205"/>
        <n v="33394"/>
        <n v="9512"/>
        <n v="26327"/>
        <n v="38280"/>
        <n v="13471"/>
        <n v="26794"/>
        <n v="24951"/>
        <n v="27179"/>
        <n v="32795"/>
        <n v="22479"/>
        <n v="46216"/>
        <n v="38024"/>
        <n v="37713"/>
        <n v="29840"/>
        <n v="40979"/>
        <n v="48283"/>
        <n v="46213"/>
        <n v="23858"/>
        <n v="45906"/>
        <n v="18260"/>
        <n v="29428"/>
        <n v="17305"/>
        <n v="7148"/>
        <n v="34365"/>
        <n v="50271"/>
        <n v="50662"/>
        <n v="45920"/>
        <n v="30861"/>
        <n v="34393"/>
        <n v="27684"/>
        <n v="6668"/>
        <n v="17807"/>
        <n v="45155"/>
        <n v="35604"/>
        <n v="40242"/>
        <n v="46386"/>
        <n v="30041"/>
        <n v="48347"/>
        <n v="33349"/>
        <n v="35408"/>
        <n v="13459"/>
        <n v="33290"/>
        <n v="23445"/>
        <n v="36178"/>
        <n v="28058"/>
        <n v="25654"/>
        <n v="32902"/>
        <n v="48799"/>
        <n v="51962"/>
        <n v="54685"/>
        <n v="29285"/>
        <n v="28209"/>
        <n v="48183"/>
        <n v="39907"/>
        <n v="36866"/>
        <n v="18103"/>
        <n v="18439"/>
        <n v="24237"/>
        <n v="13447"/>
        <n v="28658"/>
        <n v="48546"/>
        <n v="29822"/>
        <n v="34179"/>
        <n v="45376"/>
        <n v="32403"/>
        <n v="37181"/>
        <n v="43342"/>
        <n v="55875"/>
        <n v="33105"/>
        <n v="28890"/>
        <n v="44351"/>
        <n v="19250"/>
        <n v="23566"/>
        <n v="30713"/>
        <n v="20615"/>
        <n v="30531"/>
        <n v="29148"/>
        <n v="16149"/>
        <n v="20416"/>
        <n v="10238"/>
        <n v="21481"/>
        <n v="33046"/>
        <n v="31060"/>
        <n v="37978"/>
        <n v="45293"/>
        <n v="39560"/>
        <n v="47922"/>
        <n v="24110"/>
        <n v="22180"/>
        <n v="14206"/>
        <n v="13728"/>
        <n v="26228"/>
        <n v="26672"/>
        <n v="47292"/>
        <n v="35646"/>
        <n v="43031"/>
        <n v="35036"/>
        <n v="54367"/>
        <n v="57338"/>
        <n v="39268"/>
        <n v="15482"/>
        <n v="21389"/>
        <n v="18212"/>
        <n v="19227"/>
        <n v="13973"/>
        <n v="25820"/>
        <n v="26217"/>
        <n v="40992"/>
        <n v="22781"/>
        <n v="26602"/>
        <n v="38148"/>
        <n v="37397"/>
        <n v="36073"/>
        <n v="38448"/>
        <n v="50742"/>
        <n v="38776"/>
        <n v="34927"/>
        <n v="18838"/>
        <n v="10796"/>
        <n v="15324"/>
        <n v="17555"/>
        <n v="17680"/>
        <n v="18801"/>
        <n v="27379"/>
        <n v="35113"/>
        <n v="25151"/>
        <n v="42012"/>
        <n v="52454"/>
        <n v="41542"/>
        <n v="35200"/>
        <n v="30692"/>
        <n v="35300"/>
        <n v="18001"/>
        <n v="34066"/>
        <n v="37116"/>
        <n v="19660"/>
        <n v="19298"/>
        <n v="19550"/>
        <n v="26040"/>
        <n v="25831"/>
        <n v="34626"/>
        <n v="36076"/>
        <n v="34743"/>
        <n v="30735"/>
        <n v="36266"/>
        <n v="39483"/>
        <n v="46624"/>
        <n v="29895"/>
        <n v="22433"/>
        <n v="6877"/>
        <n v="25284"/>
        <n v="20675"/>
        <n v="14449"/>
        <n v="21202"/>
        <n v="21332"/>
        <n v="16288"/>
        <n v="26647"/>
        <n v="46846"/>
        <n v="41715"/>
        <n v="42383"/>
        <n v="13029"/>
        <n v="26165"/>
        <n v="16731"/>
        <n v="23957"/>
        <n v="12890"/>
        <n v="26977"/>
        <n v="30130"/>
        <n v="43996"/>
        <n v="48173"/>
        <n v="54159"/>
        <n v="23598"/>
        <n v="38517"/>
        <n v="9469"/>
        <n v="38902"/>
        <n v="29101"/>
        <n v="24697"/>
        <n v="19748"/>
        <n v="32231"/>
        <n v="37837"/>
        <n v="34064"/>
        <n v="31193"/>
        <n v="55849"/>
        <n v="28066"/>
        <n v="36060"/>
        <n v="5439"/>
        <n v="31573"/>
        <n v="32689"/>
        <n v="32986"/>
        <n v="38570"/>
        <n v="37663"/>
        <n v="27737"/>
        <n v="25413"/>
        <n v="21374"/>
        <n v="25312"/>
        <n v="14500"/>
        <n v="49175"/>
        <n v="38544"/>
        <n v="37174"/>
        <n v="27255"/>
        <n v="38945"/>
        <n v="36951"/>
        <n v="41223"/>
        <n v="52340"/>
        <n v="43851"/>
        <n v="51918"/>
        <n v="28940"/>
        <n v="48162"/>
        <n v="48887"/>
        <n v="44558"/>
        <n v="8487"/>
        <n v="40015"/>
        <n v="32068"/>
        <n v="31321"/>
        <n v="13122"/>
        <n v="35341"/>
        <n v="49176"/>
        <n v="51116"/>
        <n v="37693"/>
        <n v="37780"/>
        <n v="25658"/>
        <n v="39246"/>
        <n v="14052"/>
        <n v="14711"/>
        <n v="15932"/>
        <n v="31481"/>
        <n v="27675"/>
        <n v="31919"/>
        <n v="30638"/>
        <n v="35852"/>
        <n v="39266"/>
        <n v="44376"/>
        <n v="44670"/>
        <n v="49861"/>
        <n v="33747"/>
        <n v="18157"/>
        <n v="19917"/>
        <n v="19464"/>
        <n v="42582"/>
        <n v="48190"/>
        <n v="33496"/>
        <n v="28916"/>
        <n v="24176"/>
        <n v="17247"/>
        <n v="44764"/>
        <n v="19467"/>
        <n v="21973"/>
        <n v="25093"/>
        <n v="24684"/>
        <n v="30798"/>
        <n v="29683"/>
        <n v="16662"/>
        <n v="13187"/>
        <n v="9594"/>
        <n v="16079"/>
        <n v="51416"/>
        <n v="34559"/>
        <n v="48418"/>
        <n v="37075"/>
        <n v="26346"/>
        <n v="21883"/>
        <n v="13903"/>
        <n v="30905"/>
        <n v="34849"/>
        <n v="25254"/>
        <n v="54199"/>
        <n v="52304"/>
        <n v="38574"/>
        <n v="39886"/>
        <n v="12420"/>
        <n v="14807"/>
        <n v="15666"/>
        <n v="22674"/>
        <n v="22194"/>
        <n v="37955"/>
        <n v="31074"/>
        <n v="45247"/>
        <n v="34652"/>
        <n v="43002"/>
        <n v="34173"/>
        <n v="32422"/>
        <n v="40980"/>
        <n v="38620"/>
        <n v="23443"/>
        <n v="14551"/>
        <n v="33618"/>
        <n v="33453"/>
        <n v="42999"/>
        <n v="58591"/>
        <n v="41120"/>
        <n v="39732"/>
        <n v="44241"/>
        <n v="44492"/>
        <n v="40708"/>
        <n v="42612"/>
        <n v="37175"/>
        <n v="13549"/>
        <n v="31865"/>
        <n v="45469"/>
        <n v="29208"/>
        <n v="24559"/>
        <n v="9485"/>
        <n v="14378"/>
        <n v="16424"/>
        <n v="31597"/>
        <n v="18471"/>
        <n v="31569"/>
        <n v="29797"/>
        <n v="45856"/>
        <n v="41928"/>
        <n v="33275"/>
        <n v="23236"/>
        <n v="38171"/>
        <n v="51015"/>
        <n v="29950"/>
        <n v="36387"/>
        <n v="49229"/>
        <n v="37552"/>
        <n v="11323"/>
        <n v="16932"/>
        <n v="15671"/>
        <n v="22324"/>
        <n v="19458"/>
        <n v="13827"/>
        <n v="20865"/>
        <n v="23824"/>
        <n v="32562"/>
        <n v="45933"/>
        <n v="41595"/>
        <n v="49190"/>
        <n v="27338"/>
        <n v="32019"/>
        <n v="39753"/>
        <n v="39241"/>
        <n v="13301"/>
        <n v="14533"/>
        <n v="33360"/>
        <n v="41227"/>
        <n v="28069"/>
        <n v="15143"/>
        <n v="24186"/>
        <n v="46436"/>
        <n v="29040"/>
        <n v="28027"/>
        <n v="37113"/>
        <n v="38298"/>
        <n v="58305"/>
        <n v="29737"/>
        <n v="40909"/>
        <n v="37208"/>
        <n v="46500"/>
        <n v="16667"/>
        <n v="14865"/>
        <n v="21430"/>
        <n v="38770"/>
        <n v="53409"/>
        <n v="15376"/>
        <n v="38901"/>
        <n v="9670"/>
        <n v="36063"/>
        <n v="18583"/>
        <n v="23856"/>
        <n v="46195"/>
        <n v="31211"/>
        <n v="39061"/>
        <n v="13286"/>
        <n v="27234"/>
        <n v="36440"/>
        <n v="43924"/>
        <n v="48532"/>
        <n v="13695"/>
        <n v="5588"/>
        <n v="31428"/>
        <n v="23219"/>
        <n v="11914"/>
        <n v="24508"/>
        <n v="37522"/>
        <n v="26843"/>
        <n v="37511"/>
        <n v="48205"/>
        <n v="44709"/>
        <n v="36662"/>
        <n v="33483"/>
        <n v="39962"/>
        <n v="42493"/>
        <n v="37101"/>
        <n v="29170"/>
        <n v="40174"/>
        <n v="36568"/>
        <n v="33754"/>
        <n v="18033"/>
        <n v="26611"/>
        <n v="32943"/>
        <n v="39263"/>
        <n v="42592"/>
        <n v="16529"/>
        <n v="8465"/>
        <n v="27690"/>
        <n v="24925"/>
        <n v="32714"/>
        <n v="50039"/>
        <n v="22282"/>
        <n v="26184"/>
        <n v="39800"/>
        <n v="36038"/>
        <n v="16660"/>
        <n v="24482"/>
        <n v="25593"/>
        <n v="33901"/>
        <n v="35298"/>
        <n v="43038"/>
        <n v="28864"/>
        <n v="49055"/>
        <n v="50498"/>
        <n v="46684"/>
        <n v="62441"/>
        <n v="40315"/>
        <n v="30805"/>
        <n v="19040"/>
        <n v="11751"/>
        <n v="14556"/>
        <n v="22998"/>
        <n v="16000"/>
        <n v="42278"/>
        <n v="39337"/>
        <n v="20382"/>
        <n v="23886"/>
        <n v="38494"/>
        <n v="53260"/>
        <n v="15076"/>
        <n v="37008"/>
        <n v="11319"/>
        <n v="16958"/>
        <n v="24707"/>
        <n v="14299"/>
        <n v="34640"/>
        <n v="50174"/>
        <n v="29955"/>
        <n v="21550"/>
        <n v="16283"/>
        <n v="46488"/>
        <n v="46004"/>
        <n v="46295"/>
        <n v="36991"/>
        <n v="30533"/>
        <n v="28010"/>
        <n v="28408"/>
        <n v="41813"/>
        <n v="40225"/>
        <n v="18195"/>
        <n v="45016"/>
        <n v="53769"/>
        <n v="18732"/>
        <n v="14820"/>
        <n v="32721"/>
        <n v="40892"/>
        <n v="38738"/>
        <n v="33059"/>
        <n v="37505"/>
        <n v="42275"/>
        <n v="20080"/>
        <n v="22130"/>
        <n v="26262"/>
        <n v="14990"/>
        <n v="34596"/>
        <n v="33053"/>
        <n v="30592"/>
        <n v="42685"/>
        <n v="51236"/>
        <n v="41751"/>
        <n v="38329"/>
        <n v="9926"/>
        <n v="38989"/>
        <n v="26112"/>
        <n v="30673"/>
        <n v="14095"/>
        <n v="24520"/>
        <n v="34910"/>
        <n v="29287"/>
        <n v="44234"/>
        <n v="43360"/>
        <n v="15436"/>
        <n v="17038"/>
        <n v="21684"/>
        <n v="12593"/>
        <n v="26163"/>
        <n v="25250"/>
        <n v="35580"/>
        <n v="25684"/>
        <n v="42939"/>
        <n v="33333"/>
        <n v="35903"/>
        <n v="47135"/>
        <n v="35754"/>
        <n v="44535"/>
        <n v="44706"/>
        <n v="35970"/>
        <n v="37210"/>
        <n v="18970"/>
        <n v="14674"/>
        <n v="29979"/>
        <n v="19572"/>
        <n v="31583"/>
        <n v="55199"/>
        <n v="53669"/>
        <n v="44641"/>
        <n v="51509"/>
        <n v="42310"/>
        <n v="32950"/>
        <n v="50034"/>
        <n v="21767"/>
        <n v="50372"/>
        <n v="24905"/>
        <n v="28616"/>
        <n v="34711"/>
        <n v="42208"/>
        <n v="56599"/>
        <n v="39841"/>
        <n v="33228"/>
        <n v="47862"/>
        <n v="47218"/>
        <n v="45599"/>
        <n v="45474"/>
        <n v="31188"/>
        <n v="25773"/>
        <n v="16558"/>
        <n v="14401"/>
        <n v="14700"/>
        <n v="22455"/>
        <n v="47182"/>
        <n v="51398"/>
        <n v="52811"/>
        <n v="24583"/>
        <n v="10584"/>
        <n v="13637"/>
        <n v="36140"/>
        <n v="13961"/>
        <n v="27583"/>
        <n v="36136"/>
        <n v="49737"/>
        <n v="54418"/>
        <n v="46084"/>
        <n v="20611"/>
        <n v="14232"/>
        <n v="13469"/>
        <n v="24229"/>
        <n v="33428"/>
        <n v="23967"/>
        <n v="29070"/>
        <n v="35507"/>
        <n v="31809"/>
        <n v="52336"/>
        <n v="58892"/>
        <n v="48197"/>
        <n v="27923"/>
        <n v="17704"/>
        <n v="24136"/>
        <n v="24616"/>
        <n v="45023"/>
        <n v="45258"/>
        <n v="32566"/>
        <n v="41112"/>
        <n v="40125"/>
        <n v="40473"/>
        <n v="37028"/>
        <n v="42134"/>
        <n v="42235"/>
        <n v="18045"/>
        <n v="13563"/>
        <n v="13993"/>
        <n v="11324"/>
        <n v="36001"/>
        <n v="10611"/>
        <n v="39701"/>
        <n v="38663"/>
        <n v="39134"/>
        <n v="27577"/>
        <n v="19017"/>
        <n v="23341"/>
        <n v="46472"/>
        <n v="39986"/>
        <n v="38889"/>
        <n v="42372"/>
        <n v="50096"/>
        <n v="38289"/>
        <n v="36074"/>
        <n v="58080"/>
        <n v="28071"/>
        <n v="18893"/>
        <n v="15059"/>
        <n v="22424"/>
        <n v="21054"/>
        <n v="38364"/>
        <n v="26886"/>
        <n v="53548"/>
        <n v="29846"/>
        <n v="37312"/>
        <n v="46001"/>
        <n v="12387"/>
        <n v="35750"/>
        <n v="43014"/>
        <n v="11557"/>
        <n v="17490"/>
        <n v="25328"/>
        <n v="9501"/>
        <n v="6295"/>
        <n v="15456"/>
        <n v="50269"/>
        <n v="52688"/>
        <n v="59878"/>
        <n v="37491"/>
        <n v="45592"/>
        <n v="65183"/>
        <n v="20974"/>
        <n v="17751"/>
        <n v="21436"/>
        <n v="16148"/>
        <n v="43308"/>
        <n v="23231"/>
        <n v="30598"/>
        <n v="31471"/>
        <n v="54960"/>
        <n v="6963"/>
        <n v="42573"/>
        <n v="16467"/>
        <n v="18929"/>
        <n v="6413"/>
        <n v="39316"/>
        <n v="24175"/>
        <n v="29257"/>
        <n v="44089"/>
        <n v="28782"/>
        <n v="31800"/>
        <n v="40144"/>
        <n v="33098"/>
        <n v="18016"/>
        <n v="10241"/>
        <n v="29768"/>
        <n v="19986"/>
        <n v="15164"/>
        <n v="15717"/>
        <n v="24943"/>
        <n v="14469"/>
        <n v="37090"/>
        <n v="33543"/>
        <n v="30049"/>
        <n v="43376"/>
        <n v="29425"/>
        <n v="11663"/>
        <n v="22688"/>
        <n v="30463"/>
        <n v="28933"/>
        <n v="24571"/>
        <n v="38012"/>
        <n v="40958"/>
        <n v="47208"/>
        <n v="31622"/>
        <n v="26343"/>
        <n v="37634"/>
        <n v="34120"/>
        <n v="9573"/>
        <n v="45963"/>
        <n v="21605"/>
        <n v="35273"/>
        <n v="27343"/>
        <n v="55826"/>
        <n v="35353"/>
        <n v="54507"/>
        <n v="18475"/>
        <n v="25368"/>
        <n v="24565"/>
        <n v="13670"/>
        <n v="19258"/>
        <n v="26842"/>
        <n v="43753"/>
        <n v="58576"/>
        <n v="41392"/>
        <n v="36925"/>
        <n v="54045"/>
        <n v="29134"/>
        <n v="38345"/>
        <n v="41913"/>
        <n v="10677"/>
        <n v="17804"/>
        <n v="21081"/>
        <n v="5274"/>
        <n v="35072"/>
        <n v="40444"/>
        <n v="38038"/>
        <n v="35922"/>
        <n v="38293"/>
        <n v="31455"/>
        <n v="31249"/>
        <n v="20650"/>
        <n v="41557"/>
        <n v="53447"/>
        <n v="34199"/>
        <n v="34973"/>
        <n v="30913"/>
        <n v="31859"/>
        <n v="29922"/>
        <n v="24015"/>
        <n v="41399"/>
        <n v="32608"/>
        <n v="50837"/>
        <n v="42272"/>
        <n v="37598"/>
        <n v="50628"/>
        <n v="25646"/>
        <n v="37596"/>
        <n v="14047"/>
        <n v="19438"/>
        <n v="8796"/>
        <n v="56013"/>
        <n v="45453"/>
        <n v="33527"/>
        <n v="39273"/>
        <n v="18125"/>
        <n v="22962"/>
        <n v="19063"/>
        <n v="18180"/>
        <n v="26714"/>
        <n v="34545"/>
        <n v="39605"/>
        <n v="15309"/>
        <n v="28375"/>
        <n v="14983"/>
        <n v="18043"/>
        <n v="15871"/>
        <n v="13166"/>
        <n v="51106"/>
        <n v="30104"/>
        <n v="60650"/>
        <n v="23379"/>
        <n v="35841"/>
        <n v="26811"/>
        <n v="15374"/>
        <n v="6628"/>
        <n v="7321"/>
        <n v="23400"/>
        <n v="35197"/>
        <n v="33493"/>
        <n v="41055"/>
        <n v="33061"/>
        <n v="45893"/>
        <n v="15388"/>
        <n v="12566"/>
        <n v="9507"/>
        <n v="16830"/>
        <n v="22534"/>
        <n v="23168"/>
        <n v="42189"/>
        <n v="28797"/>
        <n v="41164"/>
        <n v="26832"/>
        <n v="45883"/>
        <n v="29607"/>
        <n v="32181"/>
        <n v="31421"/>
        <n v="21287"/>
        <n v="42459"/>
        <n v="28144"/>
        <n v="37724"/>
        <n v="45603"/>
        <n v="20702"/>
        <n v="16605"/>
        <n v="26276"/>
        <n v="22659"/>
        <n v="23995"/>
        <n v="27652"/>
        <n v="33863"/>
        <n v="61918"/>
        <n v="21902"/>
        <n v="41729"/>
        <n v="36598"/>
        <n v="44221"/>
        <n v="39892"/>
        <n v="20476"/>
        <n v="20879"/>
        <n v="28101"/>
        <n v="45610"/>
        <n v="10884"/>
        <n v="25770"/>
        <n v="55356"/>
        <n v="34164"/>
        <n v="43168"/>
        <n v="39387"/>
        <n v="37061"/>
        <n v="30585"/>
        <n v="25841"/>
        <n v="12942"/>
        <n v="29882"/>
        <n v="18571"/>
        <n v="18877"/>
        <n v="30324"/>
        <n v="21656"/>
        <n v="27416"/>
        <n v="34864"/>
        <n v="43122"/>
        <n v="33312"/>
        <n v="36726"/>
        <n v="34183"/>
        <n v="37550"/>
        <n v="26100"/>
        <n v="17326"/>
        <n v="15896"/>
        <n v="8689"/>
        <n v="27567"/>
        <n v="37762"/>
        <n v="42770"/>
        <n v="32574"/>
        <n v="41308"/>
        <n v="48524"/>
        <n v="32086"/>
        <n v="44362"/>
        <n v="37074"/>
        <n v="56547"/>
        <n v="32717"/>
        <n v="33481"/>
        <n v="13864"/>
        <n v="6086"/>
        <n v="31675"/>
        <n v="31828"/>
        <n v="27027"/>
        <n v="36133"/>
        <n v="51425"/>
        <n v="6839"/>
        <n v="54294"/>
        <n v="34304"/>
        <n v="25488"/>
        <n v="27636"/>
        <n v="10996"/>
        <n v="35263"/>
        <n v="22453"/>
        <n v="22969"/>
        <n v="21296"/>
        <n v="29065"/>
        <n v="52134"/>
        <n v="41048"/>
        <n v="40607"/>
        <n v="48978"/>
        <n v="35390"/>
        <n v="51712"/>
        <n v="26379"/>
        <n v="18608"/>
        <n v="17295"/>
        <n v="9652"/>
        <n v="13979"/>
        <n v="31887"/>
        <n v="32451"/>
        <n v="42762"/>
        <n v="47680"/>
        <n v="36998"/>
        <n v="44239"/>
        <n v="27813"/>
        <n v="6440"/>
        <n v="15748"/>
        <n v="15210"/>
        <n v="29088"/>
        <n v="6094"/>
        <n v="23365"/>
        <n v="26110"/>
        <n v="13965"/>
        <n v="14268"/>
        <n v="26004"/>
        <n v="28677"/>
        <n v="38372"/>
        <n v="32307"/>
        <n v="34907"/>
        <n v="44994"/>
        <n v="51380"/>
        <n v="46647"/>
        <n v="21688"/>
        <n v="40273"/>
        <n v="57875"/>
        <n v="33914"/>
        <n v="18472"/>
        <n v="19547"/>
        <n v="13683"/>
        <n v="32436"/>
        <n v="28240"/>
        <n v="41880"/>
        <n v="38777"/>
        <n v="36087"/>
        <n v="51552"/>
        <n v="30209"/>
        <n v="34442"/>
        <n v="45521"/>
        <n v="35415"/>
        <n v="26623"/>
        <n v="49743"/>
        <n v="36886"/>
        <n v="40675"/>
        <n v="13149"/>
        <n v="5391"/>
        <n v="33619"/>
        <n v="22956"/>
        <n v="29314"/>
        <n v="25828"/>
        <n v="35792"/>
        <n v="40264"/>
        <n v="35342"/>
        <n v="29466"/>
        <n v="35525"/>
        <n v="36193"/>
        <n v="11285"/>
        <n v="14967"/>
        <n v="16594"/>
        <n v="44752"/>
        <n v="32075"/>
        <n v="32910"/>
        <n v="23835"/>
        <n v="40241"/>
        <n v="46740"/>
        <n v="43670"/>
        <n v="57590"/>
        <n v="17777"/>
        <n v="18850"/>
        <n v="14008"/>
        <n v="47955"/>
        <n v="40677"/>
        <n v="30364"/>
        <n v="33379"/>
        <n v="26761"/>
        <n v="41665"/>
        <n v="47698"/>
        <n v="34469"/>
        <n v="31601"/>
        <n v="35728"/>
        <n v="24702"/>
        <n v="15469"/>
        <n v="18661"/>
        <n v="15205"/>
        <n v="14660"/>
        <n v="14207"/>
        <n v="36946"/>
        <n v="38630"/>
        <n v="15381"/>
        <n v="30415"/>
        <n v="39571"/>
        <n v="11555"/>
        <n v="22891"/>
        <n v="9623"/>
        <n v="60364"/>
        <n v="45854"/>
        <n v="37261"/>
        <n v="45562"/>
        <n v="31534"/>
        <n v="30490"/>
        <n v="34679"/>
        <n v="14753"/>
        <n v="20583"/>
        <n v="9949"/>
        <n v="16383"/>
        <n v="23235"/>
        <n v="24744"/>
        <n v="18085"/>
        <n v="39414"/>
        <n v="33022"/>
        <n v="47333"/>
        <n v="52409"/>
        <n v="43435"/>
        <n v="36108"/>
        <n v="17907"/>
        <n v="13747"/>
        <n v="18111"/>
        <n v="18891"/>
        <n v="28030"/>
        <n v="20130"/>
        <n v="23911"/>
        <n v="34110"/>
        <n v="30795"/>
        <n v="38394"/>
        <n v="33138"/>
        <n v="5462"/>
        <n v="34200"/>
        <n v="41836"/>
        <n v="24890"/>
        <n v="32376"/>
        <n v="30496"/>
        <n v="44872"/>
        <n v="40001"/>
        <n v="52464"/>
        <n v="32348"/>
        <n v="26467"/>
        <n v="21812"/>
        <n v="53488"/>
        <n v="37810"/>
        <n v="34037"/>
        <n v="6485"/>
        <n v="22931"/>
        <n v="40185"/>
        <n v="42376"/>
        <n v="23583"/>
        <n v="13441"/>
        <n v="14571"/>
        <n v="39298"/>
        <n v="46712"/>
        <n v="33550"/>
        <n v="29025"/>
        <n v="43879"/>
        <n v="19552"/>
        <n v="36482"/>
        <n v="43765"/>
        <n v="28361"/>
        <n v="10259"/>
        <n v="37708"/>
        <n v="25495"/>
        <n v="35153"/>
        <n v="14585"/>
        <n v="11217"/>
        <n v="26155"/>
        <n v="38190"/>
        <n v="40396"/>
        <n v="34284"/>
        <n v="40181"/>
        <n v="52213"/>
        <n v="47679"/>
        <n v="14859"/>
        <n v="6919"/>
        <n v="14712"/>
        <n v="13811"/>
        <n v="19481"/>
        <n v="27687"/>
        <n v="42116"/>
        <n v="39528"/>
        <n v="38180"/>
        <n v="34166"/>
        <n v="40631"/>
        <n v="34919"/>
        <n v="38817"/>
        <n v="25338"/>
        <n v="15190"/>
        <n v="21484"/>
        <n v="14621"/>
        <n v="24820"/>
        <n v="34206"/>
        <n v="32841"/>
        <n v="15349"/>
        <n v="33466"/>
        <n v="14289"/>
        <n v="27272"/>
        <n v="32932"/>
        <n v="29266"/>
        <n v="37161"/>
        <n v="39931"/>
        <n v="38795"/>
        <n v="28457"/>
        <n v="13421"/>
        <n v="7493"/>
        <n v="10560"/>
        <n v="26786"/>
        <n v="28483"/>
        <n v="23477"/>
        <n v="20707"/>
        <n v="9562"/>
        <n v="28720"/>
        <n v="21827"/>
        <n v="40829"/>
        <n v="38885"/>
        <n v="48551"/>
        <n v="55230"/>
        <n v="41559"/>
        <n v="36812"/>
        <n v="13419"/>
        <n v="21240"/>
        <n v="18284"/>
        <n v="46987"/>
        <n v="32381"/>
        <n v="20541"/>
        <n v="33236"/>
        <n v="46570"/>
        <n v="25783"/>
        <n v="26608"/>
        <n v="26936"/>
        <n v="15836"/>
        <n v="18443"/>
        <n v="16002"/>
        <n v="16141"/>
        <n v="29939"/>
        <n v="35638"/>
        <n v="27284"/>
        <n v="36460"/>
        <n v="44327"/>
        <n v="37514"/>
        <n v="32889"/>
        <n v="29886"/>
        <n v="42773"/>
        <n v="36899"/>
        <n v="29980"/>
        <n v="39109"/>
        <n v="34930"/>
        <n v="35626"/>
        <n v="56299"/>
        <n v="36529"/>
        <n v="36329"/>
        <n v="37142"/>
        <n v="24805"/>
        <n v="14224"/>
        <n v="26903"/>
        <n v="27227"/>
        <n v="29104"/>
        <n v="39500"/>
        <n v="41503"/>
        <n v="63528"/>
        <n v="33003"/>
        <n v="41697"/>
        <n v="14127"/>
        <n v="14400"/>
        <n v="32208"/>
        <n v="14326"/>
        <n v="26456"/>
        <n v="14666"/>
        <n v="27419"/>
        <n v="29574"/>
        <n v="42404"/>
        <n v="28062"/>
        <n v="13737"/>
        <n v="20358"/>
        <n v="15922"/>
        <n v="15654"/>
        <n v="32209"/>
        <n v="37854"/>
        <n v="37740"/>
        <n v="36804"/>
        <n v="41221"/>
        <n v="37654"/>
        <n v="56018"/>
        <n v="56407"/>
        <n v="37994"/>
        <n v="44819"/>
        <n v="49974"/>
        <n v="49739"/>
        <n v="59409"/>
        <n v="14510"/>
        <n v="30449"/>
        <n v="39013"/>
        <n v="25935"/>
        <n v="13307"/>
        <n v="23278"/>
        <n v="24249"/>
        <n v="31223"/>
        <n v="44880"/>
        <n v="44599"/>
        <n v="32712"/>
        <n v="45947"/>
        <n v="40548"/>
        <n v="55547"/>
        <n v="21602"/>
        <n v="23131"/>
        <n v="24888"/>
        <n v="23383"/>
        <n v="42952"/>
        <n v="30776"/>
        <n v="34253"/>
        <n v="52661"/>
        <n v="33733"/>
        <n v="51770"/>
        <n v="26015"/>
        <n v="22695"/>
        <n v="34956"/>
        <n v="35165"/>
        <n v="35504"/>
        <n v="48582"/>
        <n v="28492"/>
        <n v="30239"/>
        <n v="46680"/>
        <n v="33606"/>
        <n v="52215"/>
        <n v="12333"/>
        <n v="38136"/>
        <n v="16051"/>
        <n v="33476"/>
        <n v="13111"/>
        <n v="41852"/>
        <n v="14896"/>
        <n v="41110"/>
        <n v="32175"/>
        <n v="35226"/>
        <n v="36377"/>
        <n v="10836"/>
        <n v="8840"/>
        <n v="44211"/>
        <n v="18805"/>
        <n v="17507"/>
        <n v="19211"/>
        <n v="37481"/>
        <n v="53325"/>
        <n v="38648"/>
        <n v="39103"/>
        <n v="47260"/>
        <n v="44765"/>
        <n v="32554"/>
        <n v="30047"/>
        <n v="31808"/>
        <n v="15626"/>
        <n v="19611"/>
        <n v="21634"/>
        <n v="20144"/>
        <n v="14164"/>
        <n v="23829"/>
        <n v="27348"/>
        <n v="38714"/>
        <n v="40424"/>
        <n v="43837"/>
        <n v="13171"/>
        <n v="14427"/>
        <n v="21289"/>
        <n v="30811"/>
        <n v="37096"/>
        <n v="33781"/>
        <n v="37235"/>
        <n v="36202"/>
        <n v="34240"/>
        <n v="14629"/>
        <n v="12951"/>
        <n v="19680"/>
        <n v="27415"/>
        <n v="20444"/>
        <n v="32917"/>
        <n v="47531"/>
        <n v="42586"/>
        <n v="53882"/>
        <n v="44892"/>
        <n v="17719"/>
        <n v="7352"/>
        <n v="26501"/>
        <n v="10213"/>
        <n v="29127"/>
        <n v="48817"/>
        <n v="30734"/>
        <n v="45645"/>
        <n v="42326"/>
        <n v="24625"/>
        <n v="17548"/>
        <n v="19348"/>
        <n v="22629"/>
        <n v="22387"/>
        <n v="42140"/>
        <n v="30651"/>
        <n v="40195"/>
        <n v="40605"/>
        <n v="47215"/>
        <n v="27750"/>
        <n v="35447"/>
        <n v="46486"/>
        <n v="16782"/>
        <n v="47987"/>
        <n v="18582"/>
        <n v="23233"/>
        <n v="16629"/>
        <n v="32328"/>
        <n v="39887"/>
        <n v="40303"/>
        <n v="23815"/>
        <n v="40525"/>
        <n v="52981"/>
        <n v="36823"/>
        <n v="10674"/>
        <n v="13128"/>
        <n v="23705"/>
        <n v="5239"/>
        <n v="37954"/>
        <n v="38243"/>
        <n v="56880"/>
        <n v="34125"/>
        <n v="36873"/>
        <n v="17898"/>
        <n v="33945"/>
        <n v="17773"/>
        <n v="30611"/>
        <n v="37999"/>
        <n v="37561"/>
        <n v="46235"/>
        <n v="27576"/>
        <n v="28155"/>
        <n v="43934"/>
        <n v="43704"/>
        <n v="50215"/>
        <n v="31363"/>
        <n v="37827"/>
        <n v="40374"/>
        <n v="44902"/>
        <n v="18238"/>
        <n v="31065"/>
        <n v="30545"/>
        <n v="13947"/>
        <n v="16060"/>
        <n v="23884"/>
        <n v="29233"/>
        <n v="46308"/>
        <n v="20043"/>
        <n v="19058"/>
        <n v="17933"/>
        <n v="13071"/>
        <n v="14170"/>
        <n v="29462"/>
        <n v="27394"/>
        <n v="33623"/>
        <n v="27791"/>
        <n v="25780"/>
        <n v="44928"/>
        <n v="38973"/>
        <n v="54978"/>
        <n v="46866"/>
        <n v="40934"/>
        <n v="32969"/>
        <n v="28213"/>
        <n v="13178"/>
        <n v="23265"/>
        <n v="17770"/>
        <n v="34122"/>
        <n v="32030"/>
        <n v="42209"/>
        <n v="37971"/>
        <n v="35005"/>
        <n v="53691"/>
        <n v="59037"/>
        <n v="14684"/>
        <n v="21870"/>
        <n v="34990"/>
        <n v="30848"/>
        <n v="42024"/>
        <n v="49765"/>
        <n v="40940"/>
        <n v="36191"/>
        <n v="37201"/>
        <n v="50292"/>
        <n v="12476"/>
        <n v="25972"/>
        <n v="24873"/>
        <n v="25178"/>
        <n v="40293"/>
        <n v="50088"/>
        <n v="33888"/>
        <n v="45417"/>
        <n v="52954"/>
        <n v="27816"/>
        <n v="14959"/>
        <n v="30082"/>
        <n v="25429"/>
        <n v="20776"/>
        <n v="25258"/>
        <n v="26565"/>
        <n v="33795"/>
        <n v="24781"/>
        <n v="38535"/>
        <n v="38323"/>
        <n v="31061"/>
        <n v="35939"/>
        <n v="21743"/>
        <n v="23844"/>
        <n v="35732"/>
        <n v="29454"/>
        <n v="23097"/>
        <n v="32704"/>
        <n v="10158"/>
        <n v="5835"/>
        <n v="28877"/>
        <n v="24587"/>
        <n v="53169"/>
        <n v="59969"/>
        <n v="50258"/>
        <n v="48337"/>
        <n v="41232"/>
        <n v="53422"/>
        <n v="28752"/>
        <n v="18104"/>
        <n v="22175"/>
        <n v="44616"/>
        <n v="6000"/>
        <n v="5987"/>
        <n v="43718"/>
        <n v="33077"/>
        <n v="48503"/>
        <n v="40017"/>
        <n v="35994"/>
        <n v="29952"/>
        <n v="19962"/>
        <n v="31701"/>
        <n v="22199"/>
        <n v="17347"/>
        <n v="19460"/>
        <n v="17188"/>
        <n v="38184"/>
        <n v="27292"/>
        <n v="37432"/>
        <n v="42000"/>
        <n v="34731"/>
        <n v="36213"/>
        <n v="15510"/>
        <n v="31407"/>
        <n v="46325"/>
        <n v="21370"/>
        <n v="21712"/>
        <n v="21502"/>
        <n v="14748"/>
        <n v="32671"/>
        <n v="14334"/>
        <n v="34696"/>
        <n v="28504"/>
        <n v="36417"/>
        <n v="29734"/>
        <n v="28564"/>
        <n v="27534"/>
        <n v="34494"/>
        <n v="48740"/>
        <n v="50616"/>
        <n v="52532"/>
        <n v="54857"/>
        <n v="28040"/>
        <n v="17973"/>
        <n v="36324"/>
        <n v="17595"/>
        <n v="23426"/>
        <n v="20477"/>
        <n v="14336"/>
        <n v="48026"/>
        <n v="37948"/>
        <n v="27956"/>
        <n v="41742"/>
        <n v="28242"/>
        <n v="45574"/>
        <n v="13377"/>
        <n v="34779"/>
        <n v="41660"/>
        <n v="40048"/>
        <n v="15169"/>
        <n v="26731"/>
        <n v="28511"/>
        <n v="39051"/>
        <n v="54270"/>
        <n v="40495"/>
        <n v="32088"/>
        <n v="32355"/>
        <n v="39367"/>
        <n v="17268"/>
        <n v="15189"/>
        <n v="28011"/>
        <n v="24649"/>
        <n v="37342"/>
        <n v="21697"/>
        <n v="17580"/>
        <n v="38176"/>
        <n v="26382"/>
        <n v="5356"/>
        <n v="35937"/>
        <n v="29231"/>
        <n v="17115"/>
        <n v="38316"/>
        <n v="53824"/>
        <n v="41084"/>
        <n v="40875"/>
        <n v="38754"/>
        <n v="28208"/>
        <n v="14252"/>
        <n v="12783"/>
        <n v="49945"/>
        <n v="30137"/>
        <n v="31129"/>
        <n v="37958"/>
        <n v="41185"/>
        <n v="10015"/>
        <n v="5424"/>
        <n v="23654"/>
        <n v="15850"/>
        <n v="21516"/>
        <n v="31155"/>
        <n v="50613"/>
        <n v="10347"/>
        <n v="16642"/>
        <n v="22670"/>
        <n v="13276"/>
        <n v="26483"/>
        <n v="14322"/>
        <n v="13902"/>
        <n v="25882"/>
        <n v="51579"/>
        <n v="29568"/>
        <n v="36196"/>
        <n v="56644"/>
        <n v="61538"/>
        <n v="27160"/>
        <n v="41728"/>
        <n v="28026"/>
        <n v="45886"/>
        <n v="53378"/>
        <n v="14214"/>
        <n v="28781"/>
        <n v="39022"/>
        <n v="33827"/>
        <n v="44873"/>
        <n v="54513"/>
        <n v="50726"/>
        <n v="38449"/>
        <n v="29387"/>
        <n v="39148"/>
        <n v="28220"/>
        <n v="19977"/>
        <n v="21722"/>
        <n v="25685"/>
        <n v="18536"/>
        <n v="28180"/>
        <n v="39924"/>
        <n v="37671"/>
        <n v="44659"/>
        <n v="45927"/>
        <n v="33084"/>
        <n v="8180"/>
        <n v="25385"/>
        <n v="15153"/>
        <n v="14901"/>
        <n v="42776"/>
        <n v="37087"/>
        <n v="51336"/>
        <n v="36639"/>
        <n v="19683"/>
        <n v="10644"/>
        <n v="34337"/>
        <n v="30505"/>
        <n v="28882"/>
        <n v="56218"/>
        <n v="47769"/>
        <n v="35032"/>
        <n v="47401"/>
        <n v="58349"/>
        <n v="41146"/>
        <n v="16297"/>
        <n v="18197"/>
        <n v="39766"/>
        <n v="42470"/>
        <n v="27276"/>
        <n v="36276"/>
        <n v="34335"/>
        <n v="26879"/>
        <n v="47386"/>
        <n v="39448"/>
        <n v="49299"/>
        <n v="39323"/>
        <n v="28248"/>
        <n v="32211"/>
        <n v="23258"/>
        <n v="32516"/>
        <n v="53034"/>
        <n v="38674"/>
        <n v="34735"/>
        <n v="45901"/>
        <n v="34471"/>
        <n v="38147"/>
        <n v="23438"/>
        <n v="30968"/>
        <n v="30272"/>
        <n v="23800"/>
        <n v="35874"/>
        <n v="19579"/>
        <n v="42471"/>
        <n v="44497"/>
        <n v="46015"/>
        <n v="29870"/>
        <n v="40400"/>
        <n v="35483"/>
        <n v="25507"/>
        <n v="59100"/>
        <n v="42843"/>
        <n v="39932"/>
        <n v="34409"/>
        <n v="35338"/>
        <n v="18322"/>
        <n v="40341"/>
        <n v="25090"/>
        <n v="26149"/>
        <n v="15916"/>
        <n v="15261"/>
        <n v="17746"/>
        <n v="14757"/>
        <n v="17957"/>
        <n v="37516"/>
        <n v="39627"/>
        <n v="35222"/>
        <n v="36613"/>
        <n v="26440"/>
        <n v="21142"/>
        <n v="8846"/>
        <n v="10612"/>
        <n v="30542"/>
        <n v="9438"/>
        <n v="16471"/>
        <n v="29833"/>
        <n v="34356"/>
        <n v="40244"/>
        <n v="18639"/>
        <n v="9863"/>
        <n v="31647"/>
        <n v="27457"/>
        <n v="27278"/>
        <n v="41631"/>
        <n v="33031"/>
        <n v="42665"/>
        <n v="47019"/>
        <n v="13142"/>
        <n v="31269"/>
        <n v="35424"/>
        <n v="48145"/>
        <n v="13577"/>
        <n v="13909"/>
        <n v="15435"/>
        <n v="24053"/>
        <n v="19758"/>
        <n v="33655"/>
        <n v="13733"/>
        <n v="46921"/>
        <n v="39371"/>
        <n v="33789"/>
        <n v="26967"/>
        <n v="30887"/>
        <n v="37923"/>
        <n v="31537"/>
        <n v="47949"/>
        <n v="52290"/>
        <n v="43409"/>
        <n v="36878"/>
        <n v="27733"/>
        <n v="35431"/>
        <n v="15814"/>
        <n v="27397"/>
        <n v="17336"/>
        <n v="25049"/>
        <n v="10250"/>
        <n v="29221"/>
        <n v="32994"/>
        <n v="34675"/>
        <n v="46322"/>
        <n v="43533"/>
        <n v="27451"/>
        <n v="16481"/>
        <n v="10493"/>
        <n v="20087"/>
        <n v="20901"/>
        <n v="18765"/>
        <n v="20921"/>
        <n v="25321"/>
        <n v="25582"/>
        <n v="32461"/>
        <n v="40882"/>
        <n v="44841"/>
        <n v="53937"/>
        <n v="37463"/>
        <n v="13986"/>
        <n v="9514"/>
        <n v="18384"/>
        <n v="25937"/>
        <n v="37538"/>
        <n v="44113"/>
        <n v="24158"/>
      </sharedItems>
    </cacheField>
    <cacheField name="N" numFmtId="0" formula="1" databaseField="0"/>
    <cacheField name="Поле1" numFmtId="0" formula="1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1.1827546296" refreshedBy="hsl" recordCount="237">
  <cacheSource type="worksheet">
    <worksheetSource ref="I3:M240" sheet="АВС_XYZ"/>
  </cacheSource>
  <cacheFields count="5">
    <cacheField name="ФИО клиента" numFmtId="0">
      <sharedItems count="237">
        <s v="Степанов Федор Артемович"/>
        <s v="Соколова Анна Владимировна"/>
        <s v="Воробьев Евгений Николаевич"/>
        <s v="Захаров Роман Романович"/>
        <s v="Тарасова Полина Владимировна"/>
        <s v="Андреев Евгений Александрович"/>
        <s v="Андреев Михаил Ильич"/>
        <s v="Григорьева Ирина Николаевна"/>
        <s v="Воробьева Марина Сергеевна"/>
        <s v="Белова Татьяна Николаевна"/>
        <s v="Новикова Полина Денисовна"/>
        <s v="Романов Антон Евгеньевич"/>
        <s v="Алексеева Екатерина Андреевна"/>
        <s v="Попова Мария Игоревна"/>
        <s v="Захарова Ксения Олеговна"/>
        <s v="Андреев Илья Дмитриевич"/>
        <s v="Яковлев Олег Кириллович"/>
        <s v="Морозова Людмила Владимировна"/>
        <s v="Захаров Федор Евгеньевич"/>
        <s v="Лебедева Анна Ивановна"/>
        <s v="Соколов Денис Викторович"/>
        <s v="Федоров Борис Федорович"/>
        <s v="Комаров Игорь Игоревич"/>
        <s v="Сидорова Ольга Сергеевна"/>
        <s v="Белов Александр Федорович"/>
        <s v="Куликов Алексей Олегович"/>
        <s v="Сидорова Мария Денисовна"/>
        <s v="Ковалев Кирилл Игоревич"/>
        <s v="Волкова Александра Алексеевна"/>
        <s v="Новиков Владимир Александрович"/>
        <s v="Захарова Екатерина Андреевна"/>
        <s v="Николаев Алексей Федорович"/>
        <s v="Сидоров Артем Павлович"/>
        <s v="Васильева Екатерина Андреевна"/>
        <s v="Алексеева Александра Викторовна"/>
        <s v="Семенов Евгений Игоревич"/>
        <s v="Никитина Светлана Сергеевна"/>
        <s v="Морозов Павел Ильич"/>
        <s v="Алексеев Александр Александрович"/>
        <s v="Соловьева Татьяна Антоновна"/>
        <s v="Никитина Юлия Александровна"/>
        <s v="Павлова Наталья Романовна"/>
        <s v="Алексеев Дмитрий Артемович"/>
        <s v="Николаев Степан Борисович"/>
        <s v="Тарасова Светлана Владимировна"/>
        <s v="Орлов Вадим Ильич"/>
        <s v="Куликов Сергей Игоревич"/>
        <s v="Васильев Степан Дмитриевич"/>
        <s v="Семенова Людмила Александровна"/>
        <s v="Степанов Кирилл Максимович"/>
        <s v="Куликов Денис Романович"/>
        <s v="Смирнов Павел Алексеевич"/>
        <s v="Федоров Кирилл Ильич"/>
        <s v="Куликов Евгений Иванович"/>
        <s v="Петров Борис Евгеньевич"/>
        <s v="Соколова Марина Ильинична"/>
        <s v="Николаев Антон Ильич"/>
        <s v="Ковалев Сергей Борисович"/>
        <s v="Сергеев Максим Алексеевич"/>
        <s v="Иванов Антон Дмитриевич"/>
        <s v="Орлова Дарья Денисовна"/>
        <s v="Борисова Екатерина Михайловна"/>
        <s v="Павлов Владимир Александрович"/>
        <s v="Комарова Наталья Денисовна"/>
        <s v="Козлов Артем Дмитриевич"/>
        <s v="Куликова Елена Николаевна"/>
        <s v="Попов Вадим Дмитриевич"/>
        <s v="Попов Михаил Романович"/>
        <s v="Федоров Артем Романович"/>
        <s v="Зайцев Вадим Денисович"/>
        <s v="Морозов Роман Артемович"/>
        <s v="Федорова Надежда Викторовна"/>
        <s v="Семенова Полина Николаевна"/>
        <s v="Волкова Виктория Ивановна"/>
        <s v="Кузнецов Владимир Артемович"/>
        <s v="Захарова Людмила Федоровна"/>
        <s v="Семенов Денис Андреевич"/>
        <s v="Лебедев Максим Дмитриевич"/>
        <s v="Макарова Татьяна Михайловна"/>
        <s v="Смирнов Илья Артемович"/>
        <s v="Алексеев Павел Борисович"/>
        <s v="Николаева Дарья Ильинична"/>
        <s v="Козлова Дарья Федоровна"/>
        <s v="Сидорова Алина Максимовна"/>
        <s v="Кузнецов Игорь Алексеевич"/>
        <s v="Павлов Николай Антонович"/>
        <s v="Соколова Анастасия Дмитриевна"/>
        <s v="Белов Роман Николаевич"/>
        <s v="Захаров Евгений Владимирович"/>
        <s v="Соловьева Екатерина Игоревна"/>
        <s v="Федорова Софья Дмитриевна"/>
        <s v="Алексеева Ксения Евгеньевна"/>
        <s v="Семенова Полина Максимовна"/>
        <s v="Ковалева Наталья Ивановна"/>
        <s v="Алексеева Марина Евгеньевна"/>
        <s v="Иванова Анастасия Евгеньевна"/>
        <s v="Никитина Марина Ильинична"/>
        <s v="Романов Николай Кириллович"/>
        <s v="Алексеев Артем Антонович"/>
        <s v="Яковлева Ольга Романовна"/>
        <s v="Козлова Ирина Федоровна"/>
        <s v="Волкова Юлия Максимовна"/>
        <s v="Белов Павел Дмитриевич"/>
        <s v="Романова Елена Олеговна"/>
        <s v="Орлов Дмитрий Викторович"/>
        <s v="Сидорова Виктория Алексеевна"/>
        <s v="Попова Анастасия Ивановна"/>
        <s v="Андреев Федор Сергеевич"/>
        <s v="Романова Анна Алексеевна"/>
        <s v="Соколова Александра Андреевна"/>
        <s v="Макаров Юрий Андреевич"/>
        <s v="Смирнова Валерия Викторовна"/>
        <s v="Макаров Дмитрий Игоревич"/>
        <s v="Белова Виктория Михайловна"/>
        <s v="Комарова Ольга Ильинична"/>
        <s v="Комарова Анна Михайловна"/>
        <s v="Морозова Ирина Денисовна"/>
        <s v="Смирнова Екатерина Романовна"/>
        <s v="Орлов Илья Михайлович"/>
        <s v="Сергеев Дмитрий Федорович"/>
        <s v="Николаев Александр Николаевич"/>
        <s v="Комаров Михаил Викторович"/>
        <s v="Орлов Денис Алексеевич"/>
        <s v="Лебедев Виктор Антонович"/>
        <s v="Лебедев Павел Михайлович"/>
        <s v="Соколова Анастасия Ивановна"/>
        <s v="Зайцев Михаил Артемович"/>
        <s v="Орлова Наталья Алексеевна"/>
        <s v="Лебедева Екатерина Алексеевна"/>
        <s v="Иванова Алина Павловна"/>
        <s v="Романов Евгений Александрович"/>
        <s v="Михайлова Юлия Сергеевна"/>
        <s v="Куликов Дмитрий Антонович"/>
        <s v="Соловьева Виктория Андреевна"/>
        <s v="Комарова Марина Михайловна"/>
        <s v="Орлова Алина Алексеевна"/>
        <s v="Иванов Олег Борисович"/>
        <s v="Смирнов Борис Владимирович"/>
        <s v="Тарасов Роман Викторович"/>
        <s v="Никитин Степан Денисович"/>
        <s v="Николаев Артем Викторович"/>
        <s v="Соловьева Анастасия Андреевна"/>
        <s v="Лебедева Ирина Михайловна"/>
        <s v="Семенова Валерия Антоновна"/>
        <s v="Орлова Татьяна Денисовна"/>
        <s v="Павлова Людмила Михайловна"/>
        <s v="Николаева Софья Владимировна"/>
        <s v="Семенов Павел Алексеевич"/>
        <s v="Сергеев Борис Артемович"/>
        <s v="Баранов Антон Павлович"/>
        <s v="Морозов Виктор Антонович"/>
        <s v="Григорьев Борис Андреевич"/>
        <s v="Сергеева Екатерина Андреевна"/>
        <s v="Егорова Светлана Федоровна"/>
        <s v="Михайлов Антон Артемович"/>
        <s v="Алексеев Антон Сергеевич"/>
        <s v="Михайлов Вадим Романович"/>
        <s v="Сидоров Вадим Николаевич"/>
        <s v="Морозов Евгений Антонович"/>
        <s v="Сидорова Алина Игоревна"/>
        <s v="Федоров Иван Александрович"/>
        <s v="Васильева Надежда Денисовна"/>
        <s v="Андреева Екатерина Игоревна"/>
        <s v="Ковалев Роман Борисович"/>
        <s v="Смирнов Олег Борисович"/>
        <s v="Кузнецов Иван Николаевич"/>
        <s v="Васильев Дмитрий Александрович"/>
        <s v="Белова Валерия Юрьевна"/>
        <s v="Попов Роман Сергеевич"/>
        <s v="Николаева Марина Владимировна"/>
        <s v="Григорьев Виктор Павлович"/>
        <s v="Кузнецова Мария Юрьевна"/>
        <s v="Павлова Светлана Алексеевна"/>
        <s v="Алексеева Александра Евгеньевна"/>
        <s v="Куликова Александра Дмитриевна"/>
        <s v="Зайцева Марина Денисовна"/>
        <s v="Алексеева Юлия Николаевна"/>
        <s v="Тарасов Игорь Игоревич"/>
        <s v="Волков Кирилл Федорович"/>
        <s v="Егоров Игорь Александрович"/>
        <s v="Смирнов Алексей Артемович"/>
        <s v="Соколова Дарья Максимовна"/>
        <s v="Волкова Юлия Алексеевна"/>
        <s v="Никитина Елена Юрьевна"/>
        <s v="Романова Валерия Александровна"/>
        <s v="Андреева Алина Ивановна"/>
        <s v="Григорьева Ирина Антоновна"/>
        <s v="Воробьева Алина Олеговна"/>
        <s v="Зайцева Дарья Андреевна"/>
        <s v="Сергеев Кирилл Викторович"/>
        <s v="Сергеева Светлана Владимировна"/>
        <s v="Павлова Елена Александровна"/>
        <s v="Семенова Алина Денисовна"/>
        <s v="Романова Анна Дмитриевна"/>
        <s v="Орлова Дарья Алексеевна"/>
        <s v="Белов Артем Олегович"/>
        <s v="Никитина Наталья Андреевна"/>
        <s v="Смирнов Михаил Николаевич"/>
        <s v="Орлова Светлана Максимовна"/>
        <s v="Степанов Максим Кириллович"/>
        <s v="Козлова Мария Максимовна"/>
        <s v="Николаев Вадим Владимирович"/>
        <s v="Макаров Дмитрий Олегович"/>
        <s v="Степанов Максим Алексеевич"/>
        <s v="Баранов Иван Андреевич"/>
        <s v="Яковлева Алина Николаевна"/>
        <s v="Яковлева Алина Евгеньевна"/>
        <s v="Иванов Юрий Борисович"/>
        <s v="Смирнова Ирина Романовна"/>
        <s v="Васильев Алексей Борисович"/>
        <s v="Алексеева Дарья Денисовна"/>
        <s v="Морозова Анна Ильинична"/>
        <s v="Семенова Софья Ильинична"/>
        <s v="Григорьев Антон Александрович"/>
        <s v="Козлов Александр Антонович"/>
        <s v="Борисова Виктория Романовна"/>
        <s v="Новиков Максим Иванович"/>
        <s v="Алексеев Олег Артемович"/>
        <s v="Романова Наталья Евгеньевна"/>
        <s v="Семенов Олег Викторович"/>
        <s v="Васильева Юлия Алексеевна"/>
        <s v="Кузнецова Мария Евгеньевна"/>
        <s v="Захаров Федор Алексеевич"/>
        <s v="Семенов Павел Игоревич"/>
        <s v="Куликов Илья Борисович"/>
        <s v="Ковалев Дмитрий Александрович"/>
        <s v="Козлова Ирина Евгеньевна"/>
        <s v="Павлова Полина Павловна"/>
        <s v="Сидорова Людмила Сергеевна"/>
        <s v="Андреев Николай Дмитриевич"/>
        <s v="Яковлева Анна Олеговна"/>
        <s v="Новикова Наталья Олеговна"/>
        <s v="Воробьев Максим Федорович"/>
        <s v="Петров Николай Федорович"/>
        <s v="Иванов Александр Максимович"/>
        <s v="Волкова Ольга Сергеевна"/>
        <s v="Волков Евгений Сергеевич"/>
      </sharedItems>
    </cacheField>
    <cacheField name="Вариация" numFmtId="178">
      <sharedItems containsSemiMixedTypes="0" containsString="0" containsNumber="1" minValue="0.0114474125702724" maxValue="0.865195163717783" count="237">
        <n v="0.0932617736443868"/>
        <n v="0.0315130516836843"/>
        <n v="0.0304185518737844"/>
        <n v="0.0292771765390794"/>
        <n v="0.0291113651817426"/>
        <n v="0.0290697005533592"/>
        <n v="0.0289747508769419"/>
        <n v="0.0286825918208851"/>
        <n v="0.0280201128986582"/>
        <n v="0.0276186352682406"/>
        <n v="0.0272572776284247"/>
        <n v="0.0267791510534737"/>
        <n v="0.0265265198636086"/>
        <n v="0.0263870797409565"/>
        <n v="0.0258322760333336"/>
        <n v="0.0257357551230981"/>
        <n v="0.0255947503946085"/>
        <n v="0.0255944071866021"/>
        <n v="0.025140415294062"/>
        <n v="0.0243469246358746"/>
        <n v="0.0243039183295148"/>
        <n v="0.0239078458815815"/>
        <n v="0.0237799774179366"/>
        <n v="0.0236677239136587"/>
        <n v="0.0232464249390704"/>
        <n v="0.0228027618743526"/>
        <n v="0.0227659970211677"/>
        <n v="0.0227515332826415"/>
        <n v="0.0224041470734444"/>
        <n v="0.0223735644775809"/>
        <n v="0.0223437305048346"/>
        <n v="0.0221874072334116"/>
        <n v="0.0216530265809013"/>
        <n v="0.0214269869492004"/>
        <n v="0.020748667025226"/>
        <n v="0.019993437902083"/>
        <n v="0.0191640168437147"/>
        <n v="0.0187323821940562"/>
        <n v="0.0175997813318881"/>
        <n v="0.0171548886822631"/>
        <n v="0.0149732027681843"/>
        <n v="0.0148027096008711"/>
        <n v="0.0129547788871703"/>
        <n v="0.0114474125702724"/>
        <n v="0.231150018562216"/>
        <n v="0.223846498031572"/>
        <n v="0.214339424757686"/>
        <n v="0.207518768676344"/>
        <n v="0.204559690995885"/>
        <n v="0.201737417203592"/>
        <n v="0.200581257314065"/>
        <n v="0.195108370241496"/>
        <n v="0.189654595446454"/>
        <n v="0.188513234762666"/>
        <n v="0.188338477622409"/>
        <n v="0.186976479418614"/>
        <n v="0.183452823547052"/>
        <n v="0.178620379150326"/>
        <n v="0.171290885773108"/>
        <n v="0.165516659772318"/>
        <n v="0.16270027518184"/>
        <n v="0.158758600020341"/>
        <n v="0.157901020767893"/>
        <n v="0.150445696394493"/>
        <n v="0.147837453334059"/>
        <n v="0.14777707928668"/>
        <n v="0.147121934873102"/>
        <n v="0.145866487240741"/>
        <n v="0.145425298228309"/>
        <n v="0.145363352281718"/>
        <n v="0.144985115949453"/>
        <n v="0.144147980374068"/>
        <n v="0.136183743406962"/>
        <n v="0.134766742010245"/>
        <n v="0.125865990509443"/>
        <n v="0.124490864867565"/>
        <n v="0.117741581366052"/>
        <n v="0.113074910689226"/>
        <n v="0.11286169601682"/>
        <n v="0.109231084266019"/>
        <n v="0.844743146526311"/>
        <n v="0.786795282287541"/>
        <n v="0.746004897564953"/>
        <n v="0.743877483257557"/>
        <n v="0.734732709107912"/>
        <n v="0.727215979551828"/>
        <n v="0.723160321715963"/>
        <n v="0.707283867541973"/>
        <n v="0.692095893335302"/>
        <n v="0.688085850843687"/>
        <n v="0.681420247614635"/>
        <n v="0.6712692869061"/>
        <n v="0.667499789731526"/>
        <n v="0.657313041941731"/>
        <n v="0.642823719194746"/>
        <n v="0.631676780905843"/>
        <n v="0.622176378743734"/>
        <n v="0.598583349625259"/>
        <n v="0.556595283421537"/>
        <n v="0.554449375629595"/>
        <n v="0.547296357739918"/>
        <n v="0.54418016889806"/>
        <n v="0.536443199628989"/>
        <n v="0.510973417039536"/>
        <n v="0.468447638939144"/>
        <n v="0.457597216801891"/>
        <n v="0.453363617055321"/>
        <n v="0.452261386798908"/>
        <n v="0.449493801916543"/>
        <n v="0.438941331211476"/>
        <n v="0.427354780203832"/>
        <n v="0.410932480383562"/>
        <n v="0.396071433942346"/>
        <n v="0.379947110137424"/>
        <n v="0.0995692996924941"/>
        <n v="0.0983747599789208"/>
        <n v="0.0325644294865996"/>
        <n v="0.0305115830350536"/>
        <n v="0.0296955112891692"/>
        <n v="0.0290419009770675"/>
        <n v="0.0290293224858844"/>
        <n v="0.0287122624561198"/>
        <n v="0.025830771097605"/>
        <n v="0.025705837262375"/>
        <n v="0.0255926193646275"/>
        <n v="0.0251549562578643"/>
        <n v="0.02512311435591"/>
        <n v="0.0250971416705632"/>
        <n v="0.0249847366398442"/>
        <n v="0.0249790627648"/>
        <n v="0.0238538939948451"/>
        <n v="0.0237317630871128"/>
        <n v="0.0234837097842194"/>
        <n v="0.023346039417724"/>
        <n v="0.0230902770981908"/>
        <n v="0.0227420143847893"/>
        <n v="0.0227114174797563"/>
        <n v="0.0216085320473822"/>
        <n v="0.0211582750593849"/>
        <n v="0.021091455395304"/>
        <n v="0.0200832116511872"/>
        <n v="0.020052803862954"/>
        <n v="0.0199821896648774"/>
        <n v="0.017667977492212"/>
        <n v="0.0173073100245208"/>
        <n v="0.0165602426262501"/>
        <n v="0.0156161125981064"/>
        <n v="0.0155865409380079"/>
        <n v="0.203542825786552"/>
        <n v="0.197466261339454"/>
        <n v="0.185376610724731"/>
        <n v="0.182986148784958"/>
        <n v="0.168864166460283"/>
        <n v="0.166339124478391"/>
        <n v="0.163233036879996"/>
        <n v="0.160666217792261"/>
        <n v="0.160006299124637"/>
        <n v="0.158943520556874"/>
        <n v="0.157546572643203"/>
        <n v="0.151476188604218"/>
        <n v="0.15123129638971"/>
        <n v="0.150774465839301"/>
        <n v="0.137456330614976"/>
        <n v="0.133499605148167"/>
        <n v="0.124737510385363"/>
        <n v="0.120004611465283"/>
        <n v="0.114202348774298"/>
        <n v="0.11110311599827"/>
        <n v="0.110843188325614"/>
        <n v="0.865195163717783"/>
        <n v="0.828800720859457"/>
        <n v="0.823461942860699"/>
        <n v="0.813012416197361"/>
        <n v="0.782355558918805"/>
        <n v="0.767191411059926"/>
        <n v="0.730878893694709"/>
        <n v="0.714268751343951"/>
        <n v="0.713088937408395"/>
        <n v="0.686699489138449"/>
        <n v="0.683217038785175"/>
        <n v="0.675051487312309"/>
        <n v="0.673526147559204"/>
        <n v="0.617037902692183"/>
        <n v="0.603378398241588"/>
        <n v="0.603125130749956"/>
        <n v="0.564074101583662"/>
        <n v="0.548505232603963"/>
        <n v="0.53493755936202"/>
        <n v="0.508195181303728"/>
        <n v="0.502408222186316"/>
        <n v="0.486777681271133"/>
        <n v="0.47731286076132"/>
        <n v="0.471164838168397"/>
        <n v="0.437582732574506"/>
        <n v="0.350337541858217"/>
        <n v="0.030238706646331"/>
        <n v="0.0294556988831766"/>
        <n v="0.028003884655413"/>
        <n v="0.027513935475893"/>
        <n v="0.0268949223873527"/>
        <n v="0.0243113308191365"/>
        <n v="0.024265137254621"/>
        <n v="0.0242188856964415"/>
        <n v="0.0239950670060417"/>
        <n v="0.0239103660437509"/>
        <n v="0.0234225776881524"/>
        <n v="0.023327039203793"/>
        <n v="0.0232570077391828"/>
        <n v="0.0211535676838186"/>
        <n v="0.0197259292176049"/>
        <n v="0.0189459224268228"/>
        <n v="0.0168957698408844"/>
        <n v="0.0160176553431539"/>
        <n v="0.235044041264481"/>
        <n v="0.175540337946533"/>
        <n v="0.173432152977695"/>
        <n v="0.170890971347322"/>
        <n v="0.159320467845398"/>
        <n v="0.155948086565957"/>
        <n v="0.143038908357011"/>
        <n v="0.132776548668181"/>
        <n v="0.132370070746537"/>
        <n v="0.130811148840487"/>
        <n v="0.125319609594684"/>
        <n v="0.115764928977322"/>
        <n v="0.785535505463565"/>
        <n v="0.750388241142319"/>
        <n v="0.726973515812639"/>
        <n v="0.637058202742896"/>
        <n v="0.634926603145203"/>
        <n v="0.600387426309782"/>
        <n v="0.594683265293616"/>
        <n v="0.590384556370466"/>
        <n v="0.58707426577191"/>
        <n v="0.560275728081215"/>
        <n v="0.550464989851806"/>
        <n v="0.536311739745374"/>
      </sharedItems>
    </cacheField>
    <cacheField name="АВС" numFmtId="0">
      <sharedItems count="3">
        <s v="А"/>
        <s v="В"/>
        <s v="С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88566" maxValue="1565253" count="237">
        <n v="1328696"/>
        <n v="1220532"/>
        <n v="396441"/>
        <n v="664499"/>
        <n v="440624"/>
        <n v="999036"/>
        <n v="1207105"/>
        <n v="472433"/>
        <n v="297854"/>
        <n v="379540"/>
        <n v="500808"/>
        <n v="372462"/>
        <n v="691318"/>
        <n v="278387"/>
        <n v="967679"/>
        <n v="1308342"/>
        <n v="776471"/>
        <n v="826720"/>
        <n v="516408"/>
        <n v="315185"/>
        <n v="468491"/>
        <n v="505420"/>
        <n v="250877"/>
        <n v="360846"/>
        <n v="315015"/>
        <n v="888583"/>
        <n v="770018"/>
        <n v="778007"/>
        <n v="1109246"/>
        <n v="290198"/>
        <n v="587092"/>
        <n v="435125"/>
        <n v="643912"/>
        <n v="613256"/>
        <n v="436647"/>
        <n v="319824"/>
        <n v="361220"/>
        <n v="442582"/>
        <n v="290267"/>
        <n v="1197239"/>
        <n v="563820"/>
        <n v="869530"/>
        <n v="975035"/>
        <n v="971492"/>
        <n v="453126"/>
        <n v="481374"/>
        <n v="820398"/>
        <n v="469256"/>
        <n v="815530"/>
        <n v="569123"/>
        <n v="454840"/>
        <n v="1433463"/>
        <n v="826949"/>
        <n v="1426306"/>
        <n v="594276"/>
        <n v="809221"/>
        <n v="601150"/>
        <n v="912903"/>
        <n v="623612"/>
        <n v="307505"/>
        <n v="268971"/>
        <n v="592385"/>
        <n v="865280"/>
        <n v="468693"/>
        <n v="1229548"/>
        <n v="295746"/>
        <n v="269035"/>
        <n v="292362"/>
        <n v="481550"/>
        <n v="268853"/>
        <n v="405275"/>
        <n v="1234409"/>
        <n v="256885"/>
        <n v="404165"/>
        <n v="314131"/>
        <n v="705391"/>
        <n v="337284"/>
        <n v="249301"/>
        <n v="1186441"/>
        <n v="318996"/>
        <n v="384300"/>
        <n v="320915"/>
        <n v="916116"/>
        <n v="909346"/>
        <n v="862743"/>
        <n v="1143265"/>
        <n v="398790"/>
        <n v="333967"/>
        <n v="451858"/>
        <n v="1214210"/>
        <n v="408345"/>
        <n v="526669"/>
        <n v="1160562"/>
        <n v="1319290"/>
        <n v="309962"/>
        <n v="247931"/>
        <n v="325163"/>
        <n v="642309"/>
        <n v="289018"/>
        <n v="752738"/>
        <n v="1565253"/>
        <n v="435184"/>
        <n v="334281"/>
        <n v="268266"/>
        <n v="499162"/>
        <n v="571117"/>
        <n v="532780"/>
        <n v="259383"/>
        <n v="493543"/>
        <n v="1238679"/>
        <n v="1280378"/>
        <n v="999852"/>
        <n v="898315"/>
        <n v="393756"/>
        <n v="241927"/>
        <n v="166791"/>
        <n v="138894"/>
        <n v="208109"/>
        <n v="139083"/>
        <n v="184718"/>
        <n v="244796"/>
        <n v="178080"/>
        <n v="126964"/>
        <n v="159812"/>
        <n v="191991"/>
        <n v="201476"/>
        <n v="193106"/>
        <n v="169887"/>
        <n v="132989"/>
        <n v="240740"/>
        <n v="144677"/>
        <n v="179437"/>
        <n v="150811"/>
        <n v="220321"/>
        <n v="213519"/>
        <n v="196857"/>
        <n v="128759"/>
        <n v="172116"/>
        <n v="226006"/>
        <n v="153360"/>
        <n v="186400"/>
        <n v="148841"/>
        <n v="127768"/>
        <n v="152272"/>
        <n v="147229"/>
        <n v="153950"/>
        <n v="198303"/>
        <n v="136453"/>
        <n v="171079"/>
        <n v="179727"/>
        <n v="201088"/>
        <n v="164390"/>
        <n v="140398"/>
        <n v="169476"/>
        <n v="133086"/>
        <n v="133734"/>
        <n v="219851"/>
        <n v="130118"/>
        <n v="155591"/>
        <n v="146268"/>
        <n v="217871"/>
        <n v="141711"/>
        <n v="229246"/>
        <n v="144543"/>
        <n v="169219"/>
        <n v="150247"/>
        <n v="154122"/>
        <n v="147549"/>
        <n v="149244"/>
        <n v="214672"/>
        <n v="135649"/>
        <n v="130960"/>
        <n v="147580"/>
        <n v="196590"/>
        <n v="126012"/>
        <n v="140081"/>
        <n v="138758"/>
        <n v="131258"/>
        <n v="158988"/>
        <n v="154945"/>
        <n v="206445"/>
        <n v="139705"/>
        <n v="140730"/>
        <n v="195911"/>
        <n v="127084"/>
        <n v="231253"/>
        <n v="175720"/>
        <n v="198902"/>
        <n v="126357"/>
        <n v="142165"/>
        <n v="240269"/>
        <n v="143828"/>
        <n v="145473"/>
        <n v="221855"/>
        <n v="227133"/>
        <n v="108462"/>
        <n v="106845"/>
        <n v="119512"/>
        <n v="124427"/>
        <n v="121847"/>
        <n v="113907"/>
        <n v="112700"/>
        <n v="115835"/>
        <n v="114958"/>
        <n v="121272"/>
        <n v="112514"/>
        <n v="114680"/>
        <n v="106775"/>
        <n v="109356"/>
        <n v="123791"/>
        <n v="118121"/>
        <n v="107488"/>
        <n v="114147"/>
        <n v="104606"/>
        <n v="94694"/>
        <n v="107076"/>
        <n v="112607"/>
        <n v="94602"/>
        <n v="115568"/>
        <n v="113483"/>
        <n v="104094"/>
        <n v="97447"/>
        <n v="113365"/>
        <n v="89233"/>
        <n v="106384"/>
        <n v="89480"/>
        <n v="115732"/>
        <n v="100764"/>
        <n v="88566"/>
        <n v="97999"/>
        <n v="122933"/>
        <n v="122232"/>
        <n v="112151"/>
        <n v="125309"/>
        <n v="121953"/>
        <n v="113367"/>
        <n v="10480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2">
  <r>
    <x v="0"/>
    <x v="0"/>
    <x v="0"/>
    <x v="0"/>
  </r>
  <r>
    <x v="1"/>
    <x v="1"/>
    <x v="0"/>
    <x v="1"/>
  </r>
  <r>
    <x v="2"/>
    <x v="2"/>
    <x v="0"/>
    <x v="2"/>
  </r>
  <r>
    <x v="3"/>
    <x v="3"/>
    <x v="0"/>
    <x v="3"/>
  </r>
  <r>
    <x v="4"/>
    <x v="4"/>
    <x v="0"/>
    <x v="4"/>
  </r>
  <r>
    <x v="5"/>
    <x v="5"/>
    <x v="0"/>
    <x v="5"/>
  </r>
  <r>
    <x v="6"/>
    <x v="6"/>
    <x v="0"/>
    <x v="6"/>
  </r>
  <r>
    <x v="7"/>
    <x v="7"/>
    <x v="0"/>
    <x v="7"/>
  </r>
  <r>
    <x v="7"/>
    <x v="8"/>
    <x v="0"/>
    <x v="8"/>
  </r>
  <r>
    <x v="7"/>
    <x v="9"/>
    <x v="0"/>
    <x v="9"/>
  </r>
  <r>
    <x v="7"/>
    <x v="10"/>
    <x v="0"/>
    <x v="10"/>
  </r>
  <r>
    <x v="7"/>
    <x v="11"/>
    <x v="0"/>
    <x v="11"/>
  </r>
  <r>
    <x v="0"/>
    <x v="12"/>
    <x v="1"/>
    <x v="12"/>
  </r>
  <r>
    <x v="2"/>
    <x v="13"/>
    <x v="1"/>
    <x v="13"/>
  </r>
  <r>
    <x v="8"/>
    <x v="14"/>
    <x v="1"/>
    <x v="14"/>
  </r>
  <r>
    <x v="9"/>
    <x v="15"/>
    <x v="1"/>
    <x v="15"/>
  </r>
  <r>
    <x v="9"/>
    <x v="16"/>
    <x v="1"/>
    <x v="16"/>
  </r>
  <r>
    <x v="6"/>
    <x v="17"/>
    <x v="1"/>
    <x v="17"/>
  </r>
  <r>
    <x v="6"/>
    <x v="18"/>
    <x v="1"/>
    <x v="18"/>
  </r>
  <r>
    <x v="7"/>
    <x v="19"/>
    <x v="1"/>
    <x v="19"/>
  </r>
  <r>
    <x v="7"/>
    <x v="20"/>
    <x v="1"/>
    <x v="20"/>
  </r>
  <r>
    <x v="7"/>
    <x v="21"/>
    <x v="1"/>
    <x v="21"/>
  </r>
  <r>
    <x v="7"/>
    <x v="22"/>
    <x v="1"/>
    <x v="22"/>
  </r>
  <r>
    <x v="7"/>
    <x v="23"/>
    <x v="1"/>
    <x v="23"/>
  </r>
  <r>
    <x v="7"/>
    <x v="24"/>
    <x v="1"/>
    <x v="24"/>
  </r>
  <r>
    <x v="7"/>
    <x v="25"/>
    <x v="1"/>
    <x v="25"/>
  </r>
  <r>
    <x v="10"/>
    <x v="26"/>
    <x v="2"/>
    <x v="26"/>
  </r>
  <r>
    <x v="11"/>
    <x v="27"/>
    <x v="2"/>
    <x v="27"/>
  </r>
  <r>
    <x v="0"/>
    <x v="28"/>
    <x v="2"/>
    <x v="28"/>
  </r>
  <r>
    <x v="8"/>
    <x v="29"/>
    <x v="2"/>
    <x v="29"/>
  </r>
  <r>
    <x v="9"/>
    <x v="30"/>
    <x v="2"/>
    <x v="30"/>
  </r>
  <r>
    <x v="9"/>
    <x v="31"/>
    <x v="2"/>
    <x v="31"/>
  </r>
  <r>
    <x v="12"/>
    <x v="32"/>
    <x v="2"/>
    <x v="32"/>
  </r>
  <r>
    <x v="5"/>
    <x v="33"/>
    <x v="2"/>
    <x v="33"/>
  </r>
  <r>
    <x v="5"/>
    <x v="34"/>
    <x v="2"/>
    <x v="34"/>
  </r>
  <r>
    <x v="6"/>
    <x v="35"/>
    <x v="2"/>
    <x v="35"/>
  </r>
  <r>
    <x v="6"/>
    <x v="36"/>
    <x v="2"/>
    <x v="36"/>
  </r>
  <r>
    <x v="7"/>
    <x v="12"/>
    <x v="2"/>
    <x v="37"/>
  </r>
  <r>
    <x v="7"/>
    <x v="37"/>
    <x v="2"/>
    <x v="38"/>
  </r>
  <r>
    <x v="7"/>
    <x v="38"/>
    <x v="2"/>
    <x v="39"/>
  </r>
  <r>
    <x v="7"/>
    <x v="39"/>
    <x v="2"/>
    <x v="40"/>
  </r>
  <r>
    <x v="0"/>
    <x v="40"/>
    <x v="3"/>
    <x v="41"/>
  </r>
  <r>
    <x v="13"/>
    <x v="41"/>
    <x v="3"/>
    <x v="42"/>
  </r>
  <r>
    <x v="6"/>
    <x v="42"/>
    <x v="3"/>
    <x v="43"/>
  </r>
  <r>
    <x v="6"/>
    <x v="43"/>
    <x v="3"/>
    <x v="44"/>
  </r>
  <r>
    <x v="6"/>
    <x v="44"/>
    <x v="3"/>
    <x v="45"/>
  </r>
  <r>
    <x v="7"/>
    <x v="45"/>
    <x v="3"/>
    <x v="46"/>
  </r>
  <r>
    <x v="7"/>
    <x v="46"/>
    <x v="3"/>
    <x v="47"/>
  </r>
  <r>
    <x v="7"/>
    <x v="46"/>
    <x v="3"/>
    <x v="48"/>
  </r>
  <r>
    <x v="7"/>
    <x v="47"/>
    <x v="3"/>
    <x v="49"/>
  </r>
  <r>
    <x v="7"/>
    <x v="48"/>
    <x v="3"/>
    <x v="50"/>
  </r>
  <r>
    <x v="7"/>
    <x v="49"/>
    <x v="3"/>
    <x v="51"/>
  </r>
  <r>
    <x v="7"/>
    <x v="50"/>
    <x v="3"/>
    <x v="52"/>
  </r>
  <r>
    <x v="0"/>
    <x v="51"/>
    <x v="4"/>
    <x v="53"/>
  </r>
  <r>
    <x v="1"/>
    <x v="52"/>
    <x v="4"/>
    <x v="54"/>
  </r>
  <r>
    <x v="14"/>
    <x v="53"/>
    <x v="4"/>
    <x v="55"/>
  </r>
  <r>
    <x v="15"/>
    <x v="54"/>
    <x v="4"/>
    <x v="56"/>
  </r>
  <r>
    <x v="6"/>
    <x v="55"/>
    <x v="4"/>
    <x v="57"/>
  </r>
  <r>
    <x v="6"/>
    <x v="56"/>
    <x v="4"/>
    <x v="58"/>
  </r>
  <r>
    <x v="6"/>
    <x v="57"/>
    <x v="4"/>
    <x v="59"/>
  </r>
  <r>
    <x v="7"/>
    <x v="58"/>
    <x v="4"/>
    <x v="60"/>
  </r>
  <r>
    <x v="7"/>
    <x v="59"/>
    <x v="4"/>
    <x v="61"/>
  </r>
  <r>
    <x v="7"/>
    <x v="11"/>
    <x v="4"/>
    <x v="62"/>
  </r>
  <r>
    <x v="7"/>
    <x v="60"/>
    <x v="4"/>
    <x v="63"/>
  </r>
  <r>
    <x v="7"/>
    <x v="61"/>
    <x v="4"/>
    <x v="64"/>
  </r>
  <r>
    <x v="16"/>
    <x v="62"/>
    <x v="5"/>
    <x v="65"/>
  </r>
  <r>
    <x v="0"/>
    <x v="63"/>
    <x v="5"/>
    <x v="66"/>
  </r>
  <r>
    <x v="0"/>
    <x v="33"/>
    <x v="5"/>
    <x v="67"/>
  </r>
  <r>
    <x v="2"/>
    <x v="64"/>
    <x v="5"/>
    <x v="68"/>
  </r>
  <r>
    <x v="8"/>
    <x v="65"/>
    <x v="5"/>
    <x v="69"/>
  </r>
  <r>
    <x v="8"/>
    <x v="66"/>
    <x v="5"/>
    <x v="70"/>
  </r>
  <r>
    <x v="9"/>
    <x v="16"/>
    <x v="5"/>
    <x v="71"/>
  </r>
  <r>
    <x v="9"/>
    <x v="67"/>
    <x v="5"/>
    <x v="72"/>
  </r>
  <r>
    <x v="5"/>
    <x v="68"/>
    <x v="5"/>
    <x v="73"/>
  </r>
  <r>
    <x v="6"/>
    <x v="55"/>
    <x v="5"/>
    <x v="74"/>
  </r>
  <r>
    <x v="6"/>
    <x v="69"/>
    <x v="5"/>
    <x v="75"/>
  </r>
  <r>
    <x v="7"/>
    <x v="19"/>
    <x v="5"/>
    <x v="76"/>
  </r>
  <r>
    <x v="7"/>
    <x v="70"/>
    <x v="5"/>
    <x v="77"/>
  </r>
  <r>
    <x v="7"/>
    <x v="71"/>
    <x v="5"/>
    <x v="78"/>
  </r>
  <r>
    <x v="7"/>
    <x v="25"/>
    <x v="5"/>
    <x v="79"/>
  </r>
  <r>
    <x v="0"/>
    <x v="72"/>
    <x v="6"/>
    <x v="80"/>
  </r>
  <r>
    <x v="8"/>
    <x v="73"/>
    <x v="6"/>
    <x v="81"/>
  </r>
  <r>
    <x v="15"/>
    <x v="74"/>
    <x v="6"/>
    <x v="82"/>
  </r>
  <r>
    <x v="17"/>
    <x v="75"/>
    <x v="6"/>
    <x v="83"/>
  </r>
  <r>
    <x v="17"/>
    <x v="76"/>
    <x v="6"/>
    <x v="84"/>
  </r>
  <r>
    <x v="12"/>
    <x v="77"/>
    <x v="6"/>
    <x v="85"/>
  </r>
  <r>
    <x v="5"/>
    <x v="78"/>
    <x v="6"/>
    <x v="86"/>
  </r>
  <r>
    <x v="6"/>
    <x v="79"/>
    <x v="6"/>
    <x v="87"/>
  </r>
  <r>
    <x v="6"/>
    <x v="80"/>
    <x v="6"/>
    <x v="88"/>
  </r>
  <r>
    <x v="6"/>
    <x v="81"/>
    <x v="6"/>
    <x v="89"/>
  </r>
  <r>
    <x v="7"/>
    <x v="20"/>
    <x v="6"/>
    <x v="90"/>
  </r>
  <r>
    <x v="7"/>
    <x v="70"/>
    <x v="6"/>
    <x v="91"/>
  </r>
  <r>
    <x v="7"/>
    <x v="82"/>
    <x v="6"/>
    <x v="92"/>
  </r>
  <r>
    <x v="0"/>
    <x v="83"/>
    <x v="7"/>
    <x v="93"/>
  </r>
  <r>
    <x v="0"/>
    <x v="84"/>
    <x v="7"/>
    <x v="94"/>
  </r>
  <r>
    <x v="8"/>
    <x v="85"/>
    <x v="7"/>
    <x v="95"/>
  </r>
  <r>
    <x v="5"/>
    <x v="86"/>
    <x v="7"/>
    <x v="96"/>
  </r>
  <r>
    <x v="5"/>
    <x v="87"/>
    <x v="7"/>
    <x v="97"/>
  </r>
  <r>
    <x v="5"/>
    <x v="88"/>
    <x v="7"/>
    <x v="98"/>
  </r>
  <r>
    <x v="6"/>
    <x v="89"/>
    <x v="7"/>
    <x v="99"/>
  </r>
  <r>
    <x v="6"/>
    <x v="90"/>
    <x v="7"/>
    <x v="100"/>
  </r>
  <r>
    <x v="6"/>
    <x v="91"/>
    <x v="7"/>
    <x v="101"/>
  </r>
  <r>
    <x v="7"/>
    <x v="37"/>
    <x v="7"/>
    <x v="102"/>
  </r>
  <r>
    <x v="7"/>
    <x v="92"/>
    <x v="7"/>
    <x v="103"/>
  </r>
  <r>
    <x v="0"/>
    <x v="37"/>
    <x v="8"/>
    <x v="104"/>
  </r>
  <r>
    <x v="0"/>
    <x v="93"/>
    <x v="8"/>
    <x v="105"/>
  </r>
  <r>
    <x v="3"/>
    <x v="94"/>
    <x v="8"/>
    <x v="106"/>
  </r>
  <r>
    <x v="9"/>
    <x v="15"/>
    <x v="8"/>
    <x v="107"/>
  </r>
  <r>
    <x v="12"/>
    <x v="95"/>
    <x v="8"/>
    <x v="108"/>
  </r>
  <r>
    <x v="5"/>
    <x v="96"/>
    <x v="8"/>
    <x v="109"/>
  </r>
  <r>
    <x v="6"/>
    <x v="97"/>
    <x v="8"/>
    <x v="59"/>
  </r>
  <r>
    <x v="6"/>
    <x v="42"/>
    <x v="8"/>
    <x v="110"/>
  </r>
  <r>
    <x v="6"/>
    <x v="98"/>
    <x v="8"/>
    <x v="111"/>
  </r>
  <r>
    <x v="7"/>
    <x v="7"/>
    <x v="8"/>
    <x v="112"/>
  </r>
  <r>
    <x v="7"/>
    <x v="37"/>
    <x v="8"/>
    <x v="113"/>
  </r>
  <r>
    <x v="7"/>
    <x v="10"/>
    <x v="8"/>
    <x v="114"/>
  </r>
  <r>
    <x v="7"/>
    <x v="92"/>
    <x v="8"/>
    <x v="115"/>
  </r>
  <r>
    <x v="0"/>
    <x v="99"/>
    <x v="9"/>
    <x v="116"/>
  </r>
  <r>
    <x v="0"/>
    <x v="100"/>
    <x v="9"/>
    <x v="117"/>
  </r>
  <r>
    <x v="0"/>
    <x v="101"/>
    <x v="9"/>
    <x v="118"/>
  </r>
  <r>
    <x v="18"/>
    <x v="102"/>
    <x v="9"/>
    <x v="119"/>
  </r>
  <r>
    <x v="1"/>
    <x v="103"/>
    <x v="9"/>
    <x v="120"/>
  </r>
  <r>
    <x v="2"/>
    <x v="104"/>
    <x v="9"/>
    <x v="121"/>
  </r>
  <r>
    <x v="14"/>
    <x v="105"/>
    <x v="9"/>
    <x v="122"/>
  </r>
  <r>
    <x v="5"/>
    <x v="106"/>
    <x v="9"/>
    <x v="123"/>
  </r>
  <r>
    <x v="6"/>
    <x v="97"/>
    <x v="9"/>
    <x v="124"/>
  </r>
  <r>
    <x v="6"/>
    <x v="44"/>
    <x v="9"/>
    <x v="125"/>
  </r>
  <r>
    <x v="7"/>
    <x v="58"/>
    <x v="9"/>
    <x v="126"/>
  </r>
  <r>
    <x v="7"/>
    <x v="59"/>
    <x v="9"/>
    <x v="127"/>
  </r>
  <r>
    <x v="7"/>
    <x v="47"/>
    <x v="9"/>
    <x v="128"/>
  </r>
  <r>
    <x v="7"/>
    <x v="61"/>
    <x v="9"/>
    <x v="129"/>
  </r>
  <r>
    <x v="0"/>
    <x v="63"/>
    <x v="10"/>
    <x v="130"/>
  </r>
  <r>
    <x v="18"/>
    <x v="107"/>
    <x v="10"/>
    <x v="131"/>
  </r>
  <r>
    <x v="14"/>
    <x v="108"/>
    <x v="10"/>
    <x v="132"/>
  </r>
  <r>
    <x v="3"/>
    <x v="109"/>
    <x v="10"/>
    <x v="133"/>
  </r>
  <r>
    <x v="19"/>
    <x v="110"/>
    <x v="10"/>
    <x v="134"/>
  </r>
  <r>
    <x v="6"/>
    <x v="111"/>
    <x v="10"/>
    <x v="135"/>
  </r>
  <r>
    <x v="7"/>
    <x v="6"/>
    <x v="10"/>
    <x v="136"/>
  </r>
  <r>
    <x v="7"/>
    <x v="82"/>
    <x v="10"/>
    <x v="137"/>
  </r>
  <r>
    <x v="7"/>
    <x v="112"/>
    <x v="10"/>
    <x v="138"/>
  </r>
  <r>
    <x v="7"/>
    <x v="81"/>
    <x v="10"/>
    <x v="139"/>
  </r>
  <r>
    <x v="0"/>
    <x v="60"/>
    <x v="11"/>
    <x v="140"/>
  </r>
  <r>
    <x v="12"/>
    <x v="113"/>
    <x v="11"/>
    <x v="141"/>
  </r>
  <r>
    <x v="6"/>
    <x v="98"/>
    <x v="11"/>
    <x v="142"/>
  </r>
  <r>
    <x v="6"/>
    <x v="114"/>
    <x v="11"/>
    <x v="143"/>
  </r>
  <r>
    <x v="7"/>
    <x v="115"/>
    <x v="11"/>
    <x v="144"/>
  </r>
  <r>
    <x v="7"/>
    <x v="11"/>
    <x v="11"/>
    <x v="145"/>
  </r>
  <r>
    <x v="7"/>
    <x v="82"/>
    <x v="11"/>
    <x v="146"/>
  </r>
  <r>
    <x v="7"/>
    <x v="39"/>
    <x v="11"/>
    <x v="147"/>
  </r>
  <r>
    <x v="0"/>
    <x v="116"/>
    <x v="12"/>
    <x v="148"/>
  </r>
  <r>
    <x v="0"/>
    <x v="117"/>
    <x v="12"/>
    <x v="149"/>
  </r>
  <r>
    <x v="0"/>
    <x v="81"/>
    <x v="12"/>
    <x v="150"/>
  </r>
  <r>
    <x v="0"/>
    <x v="118"/>
    <x v="12"/>
    <x v="151"/>
  </r>
  <r>
    <x v="14"/>
    <x v="119"/>
    <x v="12"/>
    <x v="152"/>
  </r>
  <r>
    <x v="5"/>
    <x v="120"/>
    <x v="12"/>
    <x v="153"/>
  </r>
  <r>
    <x v="6"/>
    <x v="38"/>
    <x v="12"/>
    <x v="154"/>
  </r>
  <r>
    <x v="6"/>
    <x v="121"/>
    <x v="12"/>
    <x v="155"/>
  </r>
  <r>
    <x v="6"/>
    <x v="122"/>
    <x v="12"/>
    <x v="156"/>
  </r>
  <r>
    <x v="6"/>
    <x v="123"/>
    <x v="12"/>
    <x v="157"/>
  </r>
  <r>
    <x v="6"/>
    <x v="57"/>
    <x v="12"/>
    <x v="158"/>
  </r>
  <r>
    <x v="7"/>
    <x v="124"/>
    <x v="12"/>
    <x v="159"/>
  </r>
  <r>
    <x v="7"/>
    <x v="49"/>
    <x v="12"/>
    <x v="160"/>
  </r>
  <r>
    <x v="7"/>
    <x v="125"/>
    <x v="12"/>
    <x v="161"/>
  </r>
  <r>
    <x v="7"/>
    <x v="6"/>
    <x v="12"/>
    <x v="162"/>
  </r>
  <r>
    <x v="7"/>
    <x v="126"/>
    <x v="12"/>
    <x v="163"/>
  </r>
  <r>
    <x v="7"/>
    <x v="60"/>
    <x v="12"/>
    <x v="164"/>
  </r>
  <r>
    <x v="7"/>
    <x v="60"/>
    <x v="12"/>
    <x v="165"/>
  </r>
  <r>
    <x v="0"/>
    <x v="127"/>
    <x v="13"/>
    <x v="166"/>
  </r>
  <r>
    <x v="0"/>
    <x v="115"/>
    <x v="13"/>
    <x v="167"/>
  </r>
  <r>
    <x v="1"/>
    <x v="128"/>
    <x v="13"/>
    <x v="168"/>
  </r>
  <r>
    <x v="2"/>
    <x v="129"/>
    <x v="13"/>
    <x v="169"/>
  </r>
  <r>
    <x v="14"/>
    <x v="130"/>
    <x v="13"/>
    <x v="170"/>
  </r>
  <r>
    <x v="3"/>
    <x v="131"/>
    <x v="13"/>
    <x v="171"/>
  </r>
  <r>
    <x v="3"/>
    <x v="132"/>
    <x v="13"/>
    <x v="172"/>
  </r>
  <r>
    <x v="8"/>
    <x v="133"/>
    <x v="13"/>
    <x v="173"/>
  </r>
  <r>
    <x v="8"/>
    <x v="134"/>
    <x v="13"/>
    <x v="174"/>
  </r>
  <r>
    <x v="9"/>
    <x v="135"/>
    <x v="13"/>
    <x v="175"/>
  </r>
  <r>
    <x v="5"/>
    <x v="136"/>
    <x v="13"/>
    <x v="176"/>
  </r>
  <r>
    <x v="5"/>
    <x v="137"/>
    <x v="13"/>
    <x v="177"/>
  </r>
  <r>
    <x v="7"/>
    <x v="19"/>
    <x v="13"/>
    <x v="178"/>
  </r>
  <r>
    <x v="7"/>
    <x v="124"/>
    <x v="13"/>
    <x v="179"/>
  </r>
  <r>
    <x v="7"/>
    <x v="92"/>
    <x v="13"/>
    <x v="180"/>
  </r>
  <r>
    <x v="7"/>
    <x v="126"/>
    <x v="13"/>
    <x v="111"/>
  </r>
  <r>
    <x v="16"/>
    <x v="138"/>
    <x v="14"/>
    <x v="181"/>
  </r>
  <r>
    <x v="4"/>
    <x v="139"/>
    <x v="14"/>
    <x v="182"/>
  </r>
  <r>
    <x v="9"/>
    <x v="140"/>
    <x v="14"/>
    <x v="183"/>
  </r>
  <r>
    <x v="5"/>
    <x v="141"/>
    <x v="14"/>
    <x v="184"/>
  </r>
  <r>
    <x v="6"/>
    <x v="142"/>
    <x v="14"/>
    <x v="185"/>
  </r>
  <r>
    <x v="6"/>
    <x v="55"/>
    <x v="14"/>
    <x v="186"/>
  </r>
  <r>
    <x v="6"/>
    <x v="143"/>
    <x v="14"/>
    <x v="187"/>
  </r>
  <r>
    <x v="6"/>
    <x v="98"/>
    <x v="14"/>
    <x v="188"/>
  </r>
  <r>
    <x v="6"/>
    <x v="144"/>
    <x v="14"/>
    <x v="189"/>
  </r>
  <r>
    <x v="6"/>
    <x v="36"/>
    <x v="14"/>
    <x v="190"/>
  </r>
  <r>
    <x v="7"/>
    <x v="49"/>
    <x v="14"/>
    <x v="191"/>
  </r>
  <r>
    <x v="7"/>
    <x v="21"/>
    <x v="14"/>
    <x v="192"/>
  </r>
  <r>
    <x v="7"/>
    <x v="145"/>
    <x v="14"/>
    <x v="193"/>
  </r>
  <r>
    <x v="7"/>
    <x v="39"/>
    <x v="14"/>
    <x v="194"/>
  </r>
  <r>
    <x v="7"/>
    <x v="25"/>
    <x v="14"/>
    <x v="195"/>
  </r>
  <r>
    <x v="0"/>
    <x v="20"/>
    <x v="15"/>
    <x v="196"/>
  </r>
  <r>
    <x v="2"/>
    <x v="146"/>
    <x v="15"/>
    <x v="197"/>
  </r>
  <r>
    <x v="14"/>
    <x v="147"/>
    <x v="15"/>
    <x v="198"/>
  </r>
  <r>
    <x v="9"/>
    <x v="148"/>
    <x v="15"/>
    <x v="199"/>
  </r>
  <r>
    <x v="17"/>
    <x v="149"/>
    <x v="15"/>
    <x v="200"/>
  </r>
  <r>
    <x v="6"/>
    <x v="150"/>
    <x v="15"/>
    <x v="201"/>
  </r>
  <r>
    <x v="6"/>
    <x v="57"/>
    <x v="15"/>
    <x v="202"/>
  </r>
  <r>
    <x v="6"/>
    <x v="57"/>
    <x v="15"/>
    <x v="203"/>
  </r>
  <r>
    <x v="7"/>
    <x v="48"/>
    <x v="15"/>
    <x v="204"/>
  </r>
  <r>
    <x v="7"/>
    <x v="82"/>
    <x v="15"/>
    <x v="205"/>
  </r>
  <r>
    <x v="7"/>
    <x v="112"/>
    <x v="15"/>
    <x v="206"/>
  </r>
  <r>
    <x v="16"/>
    <x v="151"/>
    <x v="16"/>
    <x v="207"/>
  </r>
  <r>
    <x v="0"/>
    <x v="123"/>
    <x v="16"/>
    <x v="208"/>
  </r>
  <r>
    <x v="6"/>
    <x v="152"/>
    <x v="16"/>
    <x v="209"/>
  </r>
  <r>
    <x v="7"/>
    <x v="58"/>
    <x v="16"/>
    <x v="210"/>
  </r>
  <r>
    <x v="7"/>
    <x v="8"/>
    <x v="16"/>
    <x v="211"/>
  </r>
  <r>
    <x v="7"/>
    <x v="153"/>
    <x v="16"/>
    <x v="212"/>
  </r>
  <r>
    <x v="7"/>
    <x v="9"/>
    <x v="16"/>
    <x v="213"/>
  </r>
  <r>
    <x v="7"/>
    <x v="145"/>
    <x v="16"/>
    <x v="214"/>
  </r>
  <r>
    <x v="16"/>
    <x v="154"/>
    <x v="17"/>
    <x v="215"/>
  </r>
  <r>
    <x v="16"/>
    <x v="155"/>
    <x v="17"/>
    <x v="216"/>
  </r>
  <r>
    <x v="0"/>
    <x v="127"/>
    <x v="17"/>
    <x v="217"/>
  </r>
  <r>
    <x v="1"/>
    <x v="156"/>
    <x v="17"/>
    <x v="218"/>
  </r>
  <r>
    <x v="9"/>
    <x v="157"/>
    <x v="17"/>
    <x v="219"/>
  </r>
  <r>
    <x v="12"/>
    <x v="158"/>
    <x v="17"/>
    <x v="220"/>
  </r>
  <r>
    <x v="5"/>
    <x v="159"/>
    <x v="17"/>
    <x v="221"/>
  </r>
  <r>
    <x v="6"/>
    <x v="160"/>
    <x v="17"/>
    <x v="222"/>
  </r>
  <r>
    <x v="6"/>
    <x v="35"/>
    <x v="17"/>
    <x v="223"/>
  </r>
  <r>
    <x v="7"/>
    <x v="153"/>
    <x v="17"/>
    <x v="224"/>
  </r>
  <r>
    <x v="7"/>
    <x v="20"/>
    <x v="17"/>
    <x v="225"/>
  </r>
  <r>
    <x v="7"/>
    <x v="22"/>
    <x v="17"/>
    <x v="226"/>
  </r>
  <r>
    <x v="7"/>
    <x v="10"/>
    <x v="17"/>
    <x v="227"/>
  </r>
  <r>
    <x v="7"/>
    <x v="161"/>
    <x v="17"/>
    <x v="228"/>
  </r>
  <r>
    <x v="7"/>
    <x v="82"/>
    <x v="17"/>
    <x v="229"/>
  </r>
  <r>
    <x v="7"/>
    <x v="39"/>
    <x v="17"/>
    <x v="230"/>
  </r>
  <r>
    <x v="0"/>
    <x v="162"/>
    <x v="18"/>
    <x v="231"/>
  </r>
  <r>
    <x v="0"/>
    <x v="127"/>
    <x v="18"/>
    <x v="232"/>
  </r>
  <r>
    <x v="1"/>
    <x v="163"/>
    <x v="18"/>
    <x v="233"/>
  </r>
  <r>
    <x v="8"/>
    <x v="164"/>
    <x v="18"/>
    <x v="234"/>
  </r>
  <r>
    <x v="9"/>
    <x v="165"/>
    <x v="18"/>
    <x v="235"/>
  </r>
  <r>
    <x v="5"/>
    <x v="166"/>
    <x v="18"/>
    <x v="236"/>
  </r>
  <r>
    <x v="6"/>
    <x v="167"/>
    <x v="18"/>
    <x v="237"/>
  </r>
  <r>
    <x v="6"/>
    <x v="168"/>
    <x v="18"/>
    <x v="238"/>
  </r>
  <r>
    <x v="6"/>
    <x v="168"/>
    <x v="18"/>
    <x v="239"/>
  </r>
  <r>
    <x v="7"/>
    <x v="70"/>
    <x v="18"/>
    <x v="240"/>
  </r>
  <r>
    <x v="7"/>
    <x v="80"/>
    <x v="18"/>
    <x v="241"/>
  </r>
  <r>
    <x v="7"/>
    <x v="91"/>
    <x v="18"/>
    <x v="242"/>
  </r>
  <r>
    <x v="16"/>
    <x v="169"/>
    <x v="19"/>
    <x v="243"/>
  </r>
  <r>
    <x v="16"/>
    <x v="170"/>
    <x v="19"/>
    <x v="244"/>
  </r>
  <r>
    <x v="16"/>
    <x v="171"/>
    <x v="19"/>
    <x v="245"/>
  </r>
  <r>
    <x v="0"/>
    <x v="40"/>
    <x v="19"/>
    <x v="246"/>
  </r>
  <r>
    <x v="0"/>
    <x v="172"/>
    <x v="19"/>
    <x v="247"/>
  </r>
  <r>
    <x v="1"/>
    <x v="173"/>
    <x v="19"/>
    <x v="248"/>
  </r>
  <r>
    <x v="9"/>
    <x v="174"/>
    <x v="19"/>
    <x v="249"/>
  </r>
  <r>
    <x v="12"/>
    <x v="175"/>
    <x v="19"/>
    <x v="250"/>
  </r>
  <r>
    <x v="5"/>
    <x v="176"/>
    <x v="19"/>
    <x v="251"/>
  </r>
  <r>
    <x v="6"/>
    <x v="142"/>
    <x v="19"/>
    <x v="252"/>
  </r>
  <r>
    <x v="6"/>
    <x v="68"/>
    <x v="19"/>
    <x v="253"/>
  </r>
  <r>
    <x v="7"/>
    <x v="7"/>
    <x v="19"/>
    <x v="254"/>
  </r>
  <r>
    <x v="7"/>
    <x v="8"/>
    <x v="19"/>
    <x v="255"/>
  </r>
  <r>
    <x v="7"/>
    <x v="45"/>
    <x v="19"/>
    <x v="256"/>
  </r>
  <r>
    <x v="7"/>
    <x v="17"/>
    <x v="19"/>
    <x v="257"/>
  </r>
  <r>
    <x v="7"/>
    <x v="145"/>
    <x v="19"/>
    <x v="258"/>
  </r>
  <r>
    <x v="7"/>
    <x v="112"/>
    <x v="19"/>
    <x v="259"/>
  </r>
  <r>
    <x v="7"/>
    <x v="177"/>
    <x v="19"/>
    <x v="260"/>
  </r>
  <r>
    <x v="16"/>
    <x v="178"/>
    <x v="20"/>
    <x v="261"/>
  </r>
  <r>
    <x v="0"/>
    <x v="179"/>
    <x v="20"/>
    <x v="262"/>
  </r>
  <r>
    <x v="0"/>
    <x v="112"/>
    <x v="20"/>
    <x v="263"/>
  </r>
  <r>
    <x v="2"/>
    <x v="180"/>
    <x v="20"/>
    <x v="264"/>
  </r>
  <r>
    <x v="8"/>
    <x v="181"/>
    <x v="20"/>
    <x v="265"/>
  </r>
  <r>
    <x v="6"/>
    <x v="182"/>
    <x v="20"/>
    <x v="266"/>
  </r>
  <r>
    <x v="6"/>
    <x v="183"/>
    <x v="20"/>
    <x v="267"/>
  </r>
  <r>
    <x v="6"/>
    <x v="184"/>
    <x v="20"/>
    <x v="268"/>
  </r>
  <r>
    <x v="9"/>
    <x v="185"/>
    <x v="21"/>
    <x v="269"/>
  </r>
  <r>
    <x v="9"/>
    <x v="186"/>
    <x v="21"/>
    <x v="270"/>
  </r>
  <r>
    <x v="9"/>
    <x v="187"/>
    <x v="21"/>
    <x v="271"/>
  </r>
  <r>
    <x v="6"/>
    <x v="167"/>
    <x v="21"/>
    <x v="272"/>
  </r>
  <r>
    <x v="7"/>
    <x v="11"/>
    <x v="21"/>
    <x v="273"/>
  </r>
  <r>
    <x v="7"/>
    <x v="125"/>
    <x v="21"/>
    <x v="274"/>
  </r>
  <r>
    <x v="16"/>
    <x v="188"/>
    <x v="22"/>
    <x v="275"/>
  </r>
  <r>
    <x v="18"/>
    <x v="189"/>
    <x v="22"/>
    <x v="197"/>
  </r>
  <r>
    <x v="9"/>
    <x v="190"/>
    <x v="22"/>
    <x v="276"/>
  </r>
  <r>
    <x v="5"/>
    <x v="191"/>
    <x v="22"/>
    <x v="277"/>
  </r>
  <r>
    <x v="6"/>
    <x v="192"/>
    <x v="22"/>
    <x v="278"/>
  </r>
  <r>
    <x v="6"/>
    <x v="167"/>
    <x v="22"/>
    <x v="279"/>
  </r>
  <r>
    <x v="6"/>
    <x v="61"/>
    <x v="22"/>
    <x v="280"/>
  </r>
  <r>
    <x v="7"/>
    <x v="115"/>
    <x v="22"/>
    <x v="281"/>
  </r>
  <r>
    <x v="0"/>
    <x v="193"/>
    <x v="23"/>
    <x v="282"/>
  </r>
  <r>
    <x v="0"/>
    <x v="28"/>
    <x v="23"/>
    <x v="283"/>
  </r>
  <r>
    <x v="0"/>
    <x v="50"/>
    <x v="23"/>
    <x v="284"/>
  </r>
  <r>
    <x v="18"/>
    <x v="194"/>
    <x v="23"/>
    <x v="285"/>
  </r>
  <r>
    <x v="18"/>
    <x v="195"/>
    <x v="23"/>
    <x v="286"/>
  </r>
  <r>
    <x v="14"/>
    <x v="196"/>
    <x v="23"/>
    <x v="287"/>
  </r>
  <r>
    <x v="8"/>
    <x v="197"/>
    <x v="23"/>
    <x v="288"/>
  </r>
  <r>
    <x v="8"/>
    <x v="198"/>
    <x v="23"/>
    <x v="289"/>
  </r>
  <r>
    <x v="6"/>
    <x v="160"/>
    <x v="23"/>
    <x v="290"/>
  </r>
  <r>
    <x v="6"/>
    <x v="192"/>
    <x v="23"/>
    <x v="291"/>
  </r>
  <r>
    <x v="7"/>
    <x v="12"/>
    <x v="23"/>
    <x v="292"/>
  </r>
  <r>
    <x v="7"/>
    <x v="47"/>
    <x v="23"/>
    <x v="293"/>
  </r>
  <r>
    <x v="7"/>
    <x v="124"/>
    <x v="23"/>
    <x v="294"/>
  </r>
  <r>
    <x v="7"/>
    <x v="38"/>
    <x v="23"/>
    <x v="295"/>
  </r>
  <r>
    <x v="0"/>
    <x v="199"/>
    <x v="24"/>
    <x v="296"/>
  </r>
  <r>
    <x v="0"/>
    <x v="183"/>
    <x v="24"/>
    <x v="297"/>
  </r>
  <r>
    <x v="14"/>
    <x v="200"/>
    <x v="24"/>
    <x v="298"/>
  </r>
  <r>
    <x v="5"/>
    <x v="201"/>
    <x v="24"/>
    <x v="299"/>
  </r>
  <r>
    <x v="5"/>
    <x v="202"/>
    <x v="24"/>
    <x v="300"/>
  </r>
  <r>
    <x v="6"/>
    <x v="203"/>
    <x v="24"/>
    <x v="301"/>
  </r>
  <r>
    <x v="7"/>
    <x v="47"/>
    <x v="24"/>
    <x v="302"/>
  </r>
  <r>
    <x v="7"/>
    <x v="48"/>
    <x v="24"/>
    <x v="303"/>
  </r>
  <r>
    <x v="7"/>
    <x v="71"/>
    <x v="24"/>
    <x v="304"/>
  </r>
  <r>
    <x v="0"/>
    <x v="204"/>
    <x v="25"/>
    <x v="305"/>
  </r>
  <r>
    <x v="0"/>
    <x v="205"/>
    <x v="25"/>
    <x v="306"/>
  </r>
  <r>
    <x v="0"/>
    <x v="206"/>
    <x v="25"/>
    <x v="307"/>
  </r>
  <r>
    <x v="0"/>
    <x v="207"/>
    <x v="25"/>
    <x v="308"/>
  </r>
  <r>
    <x v="1"/>
    <x v="208"/>
    <x v="25"/>
    <x v="309"/>
  </r>
  <r>
    <x v="14"/>
    <x v="209"/>
    <x v="25"/>
    <x v="310"/>
  </r>
  <r>
    <x v="3"/>
    <x v="210"/>
    <x v="25"/>
    <x v="311"/>
  </r>
  <r>
    <x v="9"/>
    <x v="211"/>
    <x v="25"/>
    <x v="312"/>
  </r>
  <r>
    <x v="5"/>
    <x v="212"/>
    <x v="25"/>
    <x v="313"/>
  </r>
  <r>
    <x v="6"/>
    <x v="203"/>
    <x v="25"/>
    <x v="314"/>
  </r>
  <r>
    <x v="6"/>
    <x v="44"/>
    <x v="25"/>
    <x v="315"/>
  </r>
  <r>
    <x v="7"/>
    <x v="89"/>
    <x v="25"/>
    <x v="316"/>
  </r>
  <r>
    <x v="7"/>
    <x v="213"/>
    <x v="25"/>
    <x v="317"/>
  </r>
  <r>
    <x v="7"/>
    <x v="23"/>
    <x v="25"/>
    <x v="318"/>
  </r>
  <r>
    <x v="7"/>
    <x v="112"/>
    <x v="25"/>
    <x v="319"/>
  </r>
  <r>
    <x v="7"/>
    <x v="60"/>
    <x v="25"/>
    <x v="320"/>
  </r>
  <r>
    <x v="4"/>
    <x v="214"/>
    <x v="26"/>
    <x v="170"/>
  </r>
  <r>
    <x v="9"/>
    <x v="215"/>
    <x v="26"/>
    <x v="321"/>
  </r>
  <r>
    <x v="9"/>
    <x v="216"/>
    <x v="26"/>
    <x v="322"/>
  </r>
  <r>
    <x v="9"/>
    <x v="217"/>
    <x v="26"/>
    <x v="323"/>
  </r>
  <r>
    <x v="6"/>
    <x v="218"/>
    <x v="26"/>
    <x v="324"/>
  </r>
  <r>
    <x v="0"/>
    <x v="46"/>
    <x v="27"/>
    <x v="325"/>
  </r>
  <r>
    <x v="14"/>
    <x v="219"/>
    <x v="27"/>
    <x v="326"/>
  </r>
  <r>
    <x v="8"/>
    <x v="220"/>
    <x v="27"/>
    <x v="327"/>
  </r>
  <r>
    <x v="5"/>
    <x v="221"/>
    <x v="27"/>
    <x v="328"/>
  </r>
  <r>
    <x v="7"/>
    <x v="59"/>
    <x v="27"/>
    <x v="329"/>
  </r>
  <r>
    <x v="7"/>
    <x v="143"/>
    <x v="27"/>
    <x v="330"/>
  </r>
  <r>
    <x v="7"/>
    <x v="143"/>
    <x v="27"/>
    <x v="331"/>
  </r>
  <r>
    <x v="7"/>
    <x v="46"/>
    <x v="27"/>
    <x v="332"/>
  </r>
  <r>
    <x v="7"/>
    <x v="47"/>
    <x v="27"/>
    <x v="333"/>
  </r>
  <r>
    <x v="7"/>
    <x v="82"/>
    <x v="27"/>
    <x v="334"/>
  </r>
  <r>
    <x v="7"/>
    <x v="82"/>
    <x v="27"/>
    <x v="335"/>
  </r>
  <r>
    <x v="10"/>
    <x v="222"/>
    <x v="28"/>
    <x v="336"/>
  </r>
  <r>
    <x v="9"/>
    <x v="223"/>
    <x v="28"/>
    <x v="170"/>
  </r>
  <r>
    <x v="5"/>
    <x v="224"/>
    <x v="28"/>
    <x v="337"/>
  </r>
  <r>
    <x v="6"/>
    <x v="122"/>
    <x v="28"/>
    <x v="338"/>
  </r>
  <r>
    <x v="6"/>
    <x v="44"/>
    <x v="28"/>
    <x v="339"/>
  </r>
  <r>
    <x v="7"/>
    <x v="225"/>
    <x v="28"/>
    <x v="340"/>
  </r>
  <r>
    <x v="7"/>
    <x v="46"/>
    <x v="28"/>
    <x v="341"/>
  </r>
  <r>
    <x v="7"/>
    <x v="37"/>
    <x v="28"/>
    <x v="342"/>
  </r>
  <r>
    <x v="7"/>
    <x v="145"/>
    <x v="28"/>
    <x v="343"/>
  </r>
  <r>
    <x v="7"/>
    <x v="22"/>
    <x v="28"/>
    <x v="344"/>
  </r>
  <r>
    <x v="7"/>
    <x v="11"/>
    <x v="28"/>
    <x v="345"/>
  </r>
  <r>
    <x v="7"/>
    <x v="6"/>
    <x v="28"/>
    <x v="346"/>
  </r>
  <r>
    <x v="2"/>
    <x v="226"/>
    <x v="29"/>
    <x v="170"/>
  </r>
  <r>
    <x v="8"/>
    <x v="227"/>
    <x v="29"/>
    <x v="347"/>
  </r>
  <r>
    <x v="8"/>
    <x v="228"/>
    <x v="29"/>
    <x v="348"/>
  </r>
  <r>
    <x v="5"/>
    <x v="90"/>
    <x v="29"/>
    <x v="349"/>
  </r>
  <r>
    <x v="6"/>
    <x v="79"/>
    <x v="29"/>
    <x v="350"/>
  </r>
  <r>
    <x v="6"/>
    <x v="111"/>
    <x v="29"/>
    <x v="351"/>
  </r>
  <r>
    <x v="6"/>
    <x v="91"/>
    <x v="29"/>
    <x v="352"/>
  </r>
  <r>
    <x v="7"/>
    <x v="8"/>
    <x v="29"/>
    <x v="353"/>
  </r>
  <r>
    <x v="7"/>
    <x v="17"/>
    <x v="29"/>
    <x v="354"/>
  </r>
  <r>
    <x v="7"/>
    <x v="213"/>
    <x v="29"/>
    <x v="355"/>
  </r>
  <r>
    <x v="7"/>
    <x v="46"/>
    <x v="29"/>
    <x v="356"/>
  </r>
  <r>
    <x v="7"/>
    <x v="70"/>
    <x v="29"/>
    <x v="357"/>
  </r>
  <r>
    <x v="7"/>
    <x v="126"/>
    <x v="29"/>
    <x v="358"/>
  </r>
  <r>
    <x v="7"/>
    <x v="50"/>
    <x v="29"/>
    <x v="359"/>
  </r>
  <r>
    <x v="16"/>
    <x v="229"/>
    <x v="30"/>
    <x v="360"/>
  </r>
  <r>
    <x v="0"/>
    <x v="45"/>
    <x v="30"/>
    <x v="361"/>
  </r>
  <r>
    <x v="0"/>
    <x v="212"/>
    <x v="30"/>
    <x v="362"/>
  </r>
  <r>
    <x v="0"/>
    <x v="230"/>
    <x v="30"/>
    <x v="363"/>
  </r>
  <r>
    <x v="1"/>
    <x v="231"/>
    <x v="30"/>
    <x v="364"/>
  </r>
  <r>
    <x v="14"/>
    <x v="232"/>
    <x v="30"/>
    <x v="365"/>
  </r>
  <r>
    <x v="8"/>
    <x v="233"/>
    <x v="30"/>
    <x v="366"/>
  </r>
  <r>
    <x v="4"/>
    <x v="234"/>
    <x v="30"/>
    <x v="170"/>
  </r>
  <r>
    <x v="9"/>
    <x v="235"/>
    <x v="30"/>
    <x v="367"/>
  </r>
  <r>
    <x v="12"/>
    <x v="236"/>
    <x v="30"/>
    <x v="368"/>
  </r>
  <r>
    <x v="6"/>
    <x v="56"/>
    <x v="30"/>
    <x v="369"/>
  </r>
  <r>
    <x v="6"/>
    <x v="121"/>
    <x v="30"/>
    <x v="370"/>
  </r>
  <r>
    <x v="6"/>
    <x v="182"/>
    <x v="30"/>
    <x v="371"/>
  </r>
  <r>
    <x v="0"/>
    <x v="91"/>
    <x v="31"/>
    <x v="372"/>
  </r>
  <r>
    <x v="18"/>
    <x v="194"/>
    <x v="31"/>
    <x v="373"/>
  </r>
  <r>
    <x v="8"/>
    <x v="65"/>
    <x v="31"/>
    <x v="374"/>
  </r>
  <r>
    <x v="8"/>
    <x v="220"/>
    <x v="31"/>
    <x v="375"/>
  </r>
  <r>
    <x v="9"/>
    <x v="215"/>
    <x v="31"/>
    <x v="376"/>
  </r>
  <r>
    <x v="5"/>
    <x v="5"/>
    <x v="31"/>
    <x v="377"/>
  </r>
  <r>
    <x v="5"/>
    <x v="34"/>
    <x v="31"/>
    <x v="378"/>
  </r>
  <r>
    <x v="7"/>
    <x v="7"/>
    <x v="31"/>
    <x v="379"/>
  </r>
  <r>
    <x v="7"/>
    <x v="59"/>
    <x v="31"/>
    <x v="380"/>
  </r>
  <r>
    <x v="7"/>
    <x v="46"/>
    <x v="31"/>
    <x v="381"/>
  </r>
  <r>
    <x v="7"/>
    <x v="115"/>
    <x v="31"/>
    <x v="382"/>
  </r>
  <r>
    <x v="16"/>
    <x v="170"/>
    <x v="32"/>
    <x v="383"/>
  </r>
  <r>
    <x v="16"/>
    <x v="171"/>
    <x v="32"/>
    <x v="384"/>
  </r>
  <r>
    <x v="0"/>
    <x v="212"/>
    <x v="32"/>
    <x v="385"/>
  </r>
  <r>
    <x v="0"/>
    <x v="30"/>
    <x v="32"/>
    <x v="386"/>
  </r>
  <r>
    <x v="0"/>
    <x v="207"/>
    <x v="32"/>
    <x v="387"/>
  </r>
  <r>
    <x v="1"/>
    <x v="216"/>
    <x v="32"/>
    <x v="388"/>
  </r>
  <r>
    <x v="2"/>
    <x v="226"/>
    <x v="32"/>
    <x v="389"/>
  </r>
  <r>
    <x v="14"/>
    <x v="147"/>
    <x v="32"/>
    <x v="390"/>
  </r>
  <r>
    <x v="14"/>
    <x v="108"/>
    <x v="32"/>
    <x v="391"/>
  </r>
  <r>
    <x v="8"/>
    <x v="209"/>
    <x v="32"/>
    <x v="392"/>
  </r>
  <r>
    <x v="9"/>
    <x v="174"/>
    <x v="32"/>
    <x v="393"/>
  </r>
  <r>
    <x v="5"/>
    <x v="33"/>
    <x v="32"/>
    <x v="394"/>
  </r>
  <r>
    <x v="6"/>
    <x v="7"/>
    <x v="32"/>
    <x v="395"/>
  </r>
  <r>
    <x v="6"/>
    <x v="233"/>
    <x v="32"/>
    <x v="396"/>
  </r>
  <r>
    <x v="7"/>
    <x v="22"/>
    <x v="32"/>
    <x v="397"/>
  </r>
  <r>
    <x v="0"/>
    <x v="190"/>
    <x v="33"/>
    <x v="398"/>
  </r>
  <r>
    <x v="18"/>
    <x v="107"/>
    <x v="33"/>
    <x v="399"/>
  </r>
  <r>
    <x v="14"/>
    <x v="196"/>
    <x v="33"/>
    <x v="400"/>
  </r>
  <r>
    <x v="4"/>
    <x v="139"/>
    <x v="33"/>
    <x v="401"/>
  </r>
  <r>
    <x v="9"/>
    <x v="67"/>
    <x v="33"/>
    <x v="402"/>
  </r>
  <r>
    <x v="5"/>
    <x v="202"/>
    <x v="33"/>
    <x v="403"/>
  </r>
  <r>
    <x v="6"/>
    <x v="160"/>
    <x v="33"/>
    <x v="404"/>
  </r>
  <r>
    <x v="6"/>
    <x v="182"/>
    <x v="33"/>
    <x v="405"/>
  </r>
  <r>
    <x v="6"/>
    <x v="218"/>
    <x v="33"/>
    <x v="406"/>
  </r>
  <r>
    <x v="7"/>
    <x v="70"/>
    <x v="33"/>
    <x v="407"/>
  </r>
  <r>
    <x v="7"/>
    <x v="126"/>
    <x v="33"/>
    <x v="408"/>
  </r>
  <r>
    <x v="7"/>
    <x v="24"/>
    <x v="33"/>
    <x v="409"/>
  </r>
  <r>
    <x v="10"/>
    <x v="26"/>
    <x v="34"/>
    <x v="410"/>
  </r>
  <r>
    <x v="16"/>
    <x v="178"/>
    <x v="34"/>
    <x v="411"/>
  </r>
  <r>
    <x v="0"/>
    <x v="99"/>
    <x v="34"/>
    <x v="412"/>
  </r>
  <r>
    <x v="0"/>
    <x v="230"/>
    <x v="34"/>
    <x v="413"/>
  </r>
  <r>
    <x v="0"/>
    <x v="199"/>
    <x v="34"/>
    <x v="414"/>
  </r>
  <r>
    <x v="0"/>
    <x v="36"/>
    <x v="34"/>
    <x v="415"/>
  </r>
  <r>
    <x v="15"/>
    <x v="74"/>
    <x v="34"/>
    <x v="416"/>
  </r>
  <r>
    <x v="9"/>
    <x v="31"/>
    <x v="34"/>
    <x v="417"/>
  </r>
  <r>
    <x v="9"/>
    <x v="73"/>
    <x v="34"/>
    <x v="418"/>
  </r>
  <r>
    <x v="12"/>
    <x v="180"/>
    <x v="34"/>
    <x v="419"/>
  </r>
  <r>
    <x v="6"/>
    <x v="159"/>
    <x v="34"/>
    <x v="420"/>
  </r>
  <r>
    <x v="6"/>
    <x v="111"/>
    <x v="34"/>
    <x v="421"/>
  </r>
  <r>
    <x v="6"/>
    <x v="121"/>
    <x v="34"/>
    <x v="422"/>
  </r>
  <r>
    <x v="7"/>
    <x v="58"/>
    <x v="34"/>
    <x v="423"/>
  </r>
  <r>
    <x v="7"/>
    <x v="8"/>
    <x v="34"/>
    <x v="424"/>
  </r>
  <r>
    <x v="7"/>
    <x v="17"/>
    <x v="34"/>
    <x v="425"/>
  </r>
  <r>
    <x v="7"/>
    <x v="213"/>
    <x v="34"/>
    <x v="426"/>
  </r>
  <r>
    <x v="7"/>
    <x v="124"/>
    <x v="34"/>
    <x v="427"/>
  </r>
  <r>
    <x v="7"/>
    <x v="92"/>
    <x v="34"/>
    <x v="428"/>
  </r>
  <r>
    <x v="7"/>
    <x v="92"/>
    <x v="34"/>
    <x v="429"/>
  </r>
  <r>
    <x v="7"/>
    <x v="177"/>
    <x v="34"/>
    <x v="430"/>
  </r>
  <r>
    <x v="0"/>
    <x v="0"/>
    <x v="35"/>
    <x v="431"/>
  </r>
  <r>
    <x v="0"/>
    <x v="127"/>
    <x v="35"/>
    <x v="432"/>
  </r>
  <r>
    <x v="0"/>
    <x v="84"/>
    <x v="35"/>
    <x v="433"/>
  </r>
  <r>
    <x v="1"/>
    <x v="1"/>
    <x v="35"/>
    <x v="434"/>
  </r>
  <r>
    <x v="14"/>
    <x v="105"/>
    <x v="35"/>
    <x v="435"/>
  </r>
  <r>
    <x v="12"/>
    <x v="175"/>
    <x v="35"/>
    <x v="436"/>
  </r>
  <r>
    <x v="5"/>
    <x v="88"/>
    <x v="35"/>
    <x v="437"/>
  </r>
  <r>
    <x v="6"/>
    <x v="42"/>
    <x v="35"/>
    <x v="438"/>
  </r>
  <r>
    <x v="6"/>
    <x v="68"/>
    <x v="35"/>
    <x v="439"/>
  </r>
  <r>
    <x v="6"/>
    <x v="44"/>
    <x v="35"/>
    <x v="440"/>
  </r>
  <r>
    <x v="6"/>
    <x v="44"/>
    <x v="35"/>
    <x v="441"/>
  </r>
  <r>
    <x v="7"/>
    <x v="58"/>
    <x v="35"/>
    <x v="442"/>
  </r>
  <r>
    <x v="7"/>
    <x v="9"/>
    <x v="35"/>
    <x v="443"/>
  </r>
  <r>
    <x v="7"/>
    <x v="37"/>
    <x v="35"/>
    <x v="444"/>
  </r>
  <r>
    <x v="7"/>
    <x v="21"/>
    <x v="35"/>
    <x v="445"/>
  </r>
  <r>
    <x v="7"/>
    <x v="145"/>
    <x v="35"/>
    <x v="446"/>
  </r>
  <r>
    <x v="7"/>
    <x v="125"/>
    <x v="35"/>
    <x v="447"/>
  </r>
  <r>
    <x v="7"/>
    <x v="91"/>
    <x v="35"/>
    <x v="448"/>
  </r>
  <r>
    <x v="3"/>
    <x v="102"/>
    <x v="36"/>
    <x v="449"/>
  </r>
  <r>
    <x v="12"/>
    <x v="77"/>
    <x v="36"/>
    <x v="450"/>
  </r>
  <r>
    <x v="5"/>
    <x v="221"/>
    <x v="36"/>
    <x v="451"/>
  </r>
  <r>
    <x v="5"/>
    <x v="69"/>
    <x v="36"/>
    <x v="452"/>
  </r>
  <r>
    <x v="6"/>
    <x v="111"/>
    <x v="36"/>
    <x v="453"/>
  </r>
  <r>
    <x v="6"/>
    <x v="114"/>
    <x v="36"/>
    <x v="454"/>
  </r>
  <r>
    <x v="7"/>
    <x v="19"/>
    <x v="36"/>
    <x v="455"/>
  </r>
  <r>
    <x v="7"/>
    <x v="12"/>
    <x v="36"/>
    <x v="456"/>
  </r>
  <r>
    <x v="7"/>
    <x v="37"/>
    <x v="36"/>
    <x v="457"/>
  </r>
  <r>
    <x v="7"/>
    <x v="21"/>
    <x v="36"/>
    <x v="458"/>
  </r>
  <r>
    <x v="14"/>
    <x v="219"/>
    <x v="37"/>
    <x v="170"/>
  </r>
  <r>
    <x v="8"/>
    <x v="66"/>
    <x v="37"/>
    <x v="459"/>
  </r>
  <r>
    <x v="6"/>
    <x v="142"/>
    <x v="37"/>
    <x v="460"/>
  </r>
  <r>
    <x v="6"/>
    <x v="114"/>
    <x v="37"/>
    <x v="461"/>
  </r>
  <r>
    <x v="7"/>
    <x v="17"/>
    <x v="37"/>
    <x v="462"/>
  </r>
  <r>
    <x v="7"/>
    <x v="143"/>
    <x v="37"/>
    <x v="463"/>
  </r>
  <r>
    <x v="7"/>
    <x v="213"/>
    <x v="37"/>
    <x v="464"/>
  </r>
  <r>
    <x v="7"/>
    <x v="49"/>
    <x v="37"/>
    <x v="465"/>
  </r>
  <r>
    <x v="7"/>
    <x v="38"/>
    <x v="37"/>
    <x v="466"/>
  </r>
  <r>
    <x v="7"/>
    <x v="10"/>
    <x v="37"/>
    <x v="467"/>
  </r>
  <r>
    <x v="7"/>
    <x v="161"/>
    <x v="37"/>
    <x v="468"/>
  </r>
  <r>
    <x v="7"/>
    <x v="24"/>
    <x v="37"/>
    <x v="469"/>
  </r>
  <r>
    <x v="7"/>
    <x v="60"/>
    <x v="37"/>
    <x v="470"/>
  </r>
  <r>
    <x v="9"/>
    <x v="217"/>
    <x v="38"/>
    <x v="471"/>
  </r>
  <r>
    <x v="5"/>
    <x v="176"/>
    <x v="38"/>
    <x v="472"/>
  </r>
  <r>
    <x v="6"/>
    <x v="203"/>
    <x v="38"/>
    <x v="473"/>
  </r>
  <r>
    <x v="6"/>
    <x v="69"/>
    <x v="38"/>
    <x v="474"/>
  </r>
  <r>
    <x v="6"/>
    <x v="144"/>
    <x v="38"/>
    <x v="475"/>
  </r>
  <r>
    <x v="6"/>
    <x v="44"/>
    <x v="38"/>
    <x v="476"/>
  </r>
  <r>
    <x v="7"/>
    <x v="143"/>
    <x v="38"/>
    <x v="477"/>
  </r>
  <r>
    <x v="7"/>
    <x v="124"/>
    <x v="38"/>
    <x v="478"/>
  </r>
  <r>
    <x v="7"/>
    <x v="125"/>
    <x v="38"/>
    <x v="479"/>
  </r>
  <r>
    <x v="7"/>
    <x v="24"/>
    <x v="38"/>
    <x v="480"/>
  </r>
  <r>
    <x v="0"/>
    <x v="212"/>
    <x v="39"/>
    <x v="481"/>
  </r>
  <r>
    <x v="0"/>
    <x v="116"/>
    <x v="39"/>
    <x v="482"/>
  </r>
  <r>
    <x v="2"/>
    <x v="13"/>
    <x v="39"/>
    <x v="483"/>
  </r>
  <r>
    <x v="2"/>
    <x v="2"/>
    <x v="39"/>
    <x v="484"/>
  </r>
  <r>
    <x v="9"/>
    <x v="235"/>
    <x v="39"/>
    <x v="485"/>
  </r>
  <r>
    <x v="5"/>
    <x v="201"/>
    <x v="39"/>
    <x v="486"/>
  </r>
  <r>
    <x v="5"/>
    <x v="90"/>
    <x v="39"/>
    <x v="487"/>
  </r>
  <r>
    <x v="6"/>
    <x v="97"/>
    <x v="39"/>
    <x v="488"/>
  </r>
  <r>
    <x v="6"/>
    <x v="42"/>
    <x v="39"/>
    <x v="489"/>
  </r>
  <r>
    <x v="7"/>
    <x v="8"/>
    <x v="39"/>
    <x v="490"/>
  </r>
  <r>
    <x v="7"/>
    <x v="20"/>
    <x v="39"/>
    <x v="491"/>
  </r>
  <r>
    <x v="7"/>
    <x v="47"/>
    <x v="39"/>
    <x v="492"/>
  </r>
  <r>
    <x v="7"/>
    <x v="177"/>
    <x v="39"/>
    <x v="493"/>
  </r>
  <r>
    <x v="0"/>
    <x v="117"/>
    <x v="40"/>
    <x v="494"/>
  </r>
  <r>
    <x v="14"/>
    <x v="53"/>
    <x v="40"/>
    <x v="495"/>
  </r>
  <r>
    <x v="8"/>
    <x v="133"/>
    <x v="40"/>
    <x v="496"/>
  </r>
  <r>
    <x v="8"/>
    <x v="186"/>
    <x v="40"/>
    <x v="497"/>
  </r>
  <r>
    <x v="8"/>
    <x v="228"/>
    <x v="40"/>
    <x v="498"/>
  </r>
  <r>
    <x v="5"/>
    <x v="187"/>
    <x v="40"/>
    <x v="499"/>
  </r>
  <r>
    <x v="6"/>
    <x v="43"/>
    <x v="40"/>
    <x v="500"/>
  </r>
  <r>
    <x v="6"/>
    <x v="182"/>
    <x v="40"/>
    <x v="501"/>
  </r>
  <r>
    <x v="6"/>
    <x v="168"/>
    <x v="40"/>
    <x v="502"/>
  </r>
  <r>
    <x v="7"/>
    <x v="153"/>
    <x v="40"/>
    <x v="503"/>
  </r>
  <r>
    <x v="7"/>
    <x v="37"/>
    <x v="40"/>
    <x v="504"/>
  </r>
  <r>
    <x v="7"/>
    <x v="49"/>
    <x v="40"/>
    <x v="231"/>
  </r>
  <r>
    <x v="7"/>
    <x v="145"/>
    <x v="40"/>
    <x v="505"/>
  </r>
  <r>
    <x v="7"/>
    <x v="126"/>
    <x v="40"/>
    <x v="506"/>
  </r>
  <r>
    <x v="7"/>
    <x v="39"/>
    <x v="40"/>
    <x v="507"/>
  </r>
  <r>
    <x v="1"/>
    <x v="128"/>
    <x v="41"/>
    <x v="508"/>
  </r>
  <r>
    <x v="1"/>
    <x v="223"/>
    <x v="41"/>
    <x v="509"/>
  </r>
  <r>
    <x v="3"/>
    <x v="131"/>
    <x v="41"/>
    <x v="510"/>
  </r>
  <r>
    <x v="8"/>
    <x v="227"/>
    <x v="41"/>
    <x v="71"/>
  </r>
  <r>
    <x v="5"/>
    <x v="137"/>
    <x v="41"/>
    <x v="511"/>
  </r>
  <r>
    <x v="6"/>
    <x v="68"/>
    <x v="41"/>
    <x v="512"/>
  </r>
  <r>
    <x v="7"/>
    <x v="22"/>
    <x v="41"/>
    <x v="513"/>
  </r>
  <r>
    <x v="7"/>
    <x v="11"/>
    <x v="41"/>
    <x v="514"/>
  </r>
  <r>
    <x v="7"/>
    <x v="50"/>
    <x v="41"/>
    <x v="515"/>
  </r>
  <r>
    <x v="16"/>
    <x v="155"/>
    <x v="42"/>
    <x v="177"/>
  </r>
  <r>
    <x v="11"/>
    <x v="27"/>
    <x v="42"/>
    <x v="516"/>
  </r>
  <r>
    <x v="0"/>
    <x v="46"/>
    <x v="42"/>
    <x v="517"/>
  </r>
  <r>
    <x v="0"/>
    <x v="72"/>
    <x v="42"/>
    <x v="518"/>
  </r>
  <r>
    <x v="6"/>
    <x v="17"/>
    <x v="42"/>
    <x v="519"/>
  </r>
  <r>
    <x v="6"/>
    <x v="80"/>
    <x v="42"/>
    <x v="520"/>
  </r>
  <r>
    <x v="6"/>
    <x v="57"/>
    <x v="42"/>
    <x v="521"/>
  </r>
  <r>
    <x v="7"/>
    <x v="47"/>
    <x v="42"/>
    <x v="522"/>
  </r>
  <r>
    <x v="7"/>
    <x v="39"/>
    <x v="42"/>
    <x v="523"/>
  </r>
  <r>
    <x v="7"/>
    <x v="50"/>
    <x v="42"/>
    <x v="524"/>
  </r>
  <r>
    <x v="0"/>
    <x v="204"/>
    <x v="43"/>
    <x v="525"/>
  </r>
  <r>
    <x v="0"/>
    <x v="101"/>
    <x v="43"/>
    <x v="526"/>
  </r>
  <r>
    <x v="0"/>
    <x v="205"/>
    <x v="43"/>
    <x v="527"/>
  </r>
  <r>
    <x v="1"/>
    <x v="163"/>
    <x v="43"/>
    <x v="528"/>
  </r>
  <r>
    <x v="8"/>
    <x v="197"/>
    <x v="43"/>
    <x v="529"/>
  </r>
  <r>
    <x v="8"/>
    <x v="198"/>
    <x v="43"/>
    <x v="530"/>
  </r>
  <r>
    <x v="5"/>
    <x v="221"/>
    <x v="43"/>
    <x v="531"/>
  </r>
  <r>
    <x v="5"/>
    <x v="122"/>
    <x v="43"/>
    <x v="532"/>
  </r>
  <r>
    <x v="5"/>
    <x v="78"/>
    <x v="43"/>
    <x v="533"/>
  </r>
  <r>
    <x v="6"/>
    <x v="150"/>
    <x v="43"/>
    <x v="534"/>
  </r>
  <r>
    <x v="6"/>
    <x v="145"/>
    <x v="43"/>
    <x v="535"/>
  </r>
  <r>
    <x v="7"/>
    <x v="46"/>
    <x v="43"/>
    <x v="536"/>
  </r>
  <r>
    <x v="7"/>
    <x v="25"/>
    <x v="43"/>
    <x v="537"/>
  </r>
  <r>
    <x v="16"/>
    <x v="154"/>
    <x v="44"/>
    <x v="538"/>
  </r>
  <r>
    <x v="14"/>
    <x v="119"/>
    <x v="44"/>
    <x v="539"/>
  </r>
  <r>
    <x v="3"/>
    <x v="132"/>
    <x v="44"/>
    <x v="540"/>
  </r>
  <r>
    <x v="8"/>
    <x v="134"/>
    <x v="44"/>
    <x v="541"/>
  </r>
  <r>
    <x v="15"/>
    <x v="54"/>
    <x v="44"/>
    <x v="542"/>
  </r>
  <r>
    <x v="9"/>
    <x v="16"/>
    <x v="44"/>
    <x v="543"/>
  </r>
  <r>
    <x v="5"/>
    <x v="106"/>
    <x v="44"/>
    <x v="544"/>
  </r>
  <r>
    <x v="6"/>
    <x v="159"/>
    <x v="44"/>
    <x v="545"/>
  </r>
  <r>
    <x v="6"/>
    <x v="44"/>
    <x v="44"/>
    <x v="546"/>
  </r>
  <r>
    <x v="7"/>
    <x v="59"/>
    <x v="44"/>
    <x v="547"/>
  </r>
  <r>
    <x v="7"/>
    <x v="145"/>
    <x v="44"/>
    <x v="548"/>
  </r>
  <r>
    <x v="7"/>
    <x v="24"/>
    <x v="44"/>
    <x v="549"/>
  </r>
  <r>
    <x v="0"/>
    <x v="172"/>
    <x v="45"/>
    <x v="550"/>
  </r>
  <r>
    <x v="0"/>
    <x v="145"/>
    <x v="45"/>
    <x v="551"/>
  </r>
  <r>
    <x v="14"/>
    <x v="232"/>
    <x v="45"/>
    <x v="552"/>
  </r>
  <r>
    <x v="8"/>
    <x v="29"/>
    <x v="45"/>
    <x v="553"/>
  </r>
  <r>
    <x v="8"/>
    <x v="85"/>
    <x v="45"/>
    <x v="554"/>
  </r>
  <r>
    <x v="9"/>
    <x v="165"/>
    <x v="45"/>
    <x v="555"/>
  </r>
  <r>
    <x v="6"/>
    <x v="89"/>
    <x v="45"/>
    <x v="556"/>
  </r>
  <r>
    <x v="7"/>
    <x v="9"/>
    <x v="45"/>
    <x v="557"/>
  </r>
  <r>
    <x v="7"/>
    <x v="37"/>
    <x v="45"/>
    <x v="558"/>
  </r>
  <r>
    <x v="7"/>
    <x v="49"/>
    <x v="45"/>
    <x v="559"/>
  </r>
  <r>
    <x v="7"/>
    <x v="38"/>
    <x v="45"/>
    <x v="560"/>
  </r>
  <r>
    <x v="16"/>
    <x v="138"/>
    <x v="46"/>
    <x v="561"/>
  </r>
  <r>
    <x v="0"/>
    <x v="100"/>
    <x v="46"/>
    <x v="562"/>
  </r>
  <r>
    <x v="0"/>
    <x v="203"/>
    <x v="46"/>
    <x v="563"/>
  </r>
  <r>
    <x v="1"/>
    <x v="208"/>
    <x v="46"/>
    <x v="564"/>
  </r>
  <r>
    <x v="1"/>
    <x v="173"/>
    <x v="46"/>
    <x v="565"/>
  </r>
  <r>
    <x v="9"/>
    <x v="185"/>
    <x v="46"/>
    <x v="566"/>
  </r>
  <r>
    <x v="6"/>
    <x v="35"/>
    <x v="46"/>
    <x v="567"/>
  </r>
  <r>
    <x v="7"/>
    <x v="143"/>
    <x v="46"/>
    <x v="568"/>
  </r>
  <r>
    <x v="7"/>
    <x v="47"/>
    <x v="46"/>
    <x v="569"/>
  </r>
  <r>
    <x v="7"/>
    <x v="115"/>
    <x v="46"/>
    <x v="570"/>
  </r>
  <r>
    <x v="7"/>
    <x v="126"/>
    <x v="46"/>
    <x v="571"/>
  </r>
  <r>
    <x v="7"/>
    <x v="39"/>
    <x v="46"/>
    <x v="572"/>
  </r>
  <r>
    <x v="7"/>
    <x v="91"/>
    <x v="46"/>
    <x v="573"/>
  </r>
  <r>
    <x v="10"/>
    <x v="222"/>
    <x v="47"/>
    <x v="574"/>
  </r>
  <r>
    <x v="2"/>
    <x v="146"/>
    <x v="47"/>
    <x v="575"/>
  </r>
  <r>
    <x v="9"/>
    <x v="211"/>
    <x v="47"/>
    <x v="576"/>
  </r>
  <r>
    <x v="17"/>
    <x v="149"/>
    <x v="47"/>
    <x v="577"/>
  </r>
  <r>
    <x v="6"/>
    <x v="192"/>
    <x v="47"/>
    <x v="578"/>
  </r>
  <r>
    <x v="6"/>
    <x v="56"/>
    <x v="47"/>
    <x v="579"/>
  </r>
  <r>
    <x v="6"/>
    <x v="177"/>
    <x v="47"/>
    <x v="580"/>
  </r>
  <r>
    <x v="6"/>
    <x v="218"/>
    <x v="47"/>
    <x v="581"/>
  </r>
  <r>
    <x v="7"/>
    <x v="124"/>
    <x v="47"/>
    <x v="406"/>
  </r>
  <r>
    <x v="7"/>
    <x v="24"/>
    <x v="47"/>
    <x v="582"/>
  </r>
  <r>
    <x v="7"/>
    <x v="24"/>
    <x v="47"/>
    <x v="583"/>
  </r>
  <r>
    <x v="7"/>
    <x v="61"/>
    <x v="47"/>
    <x v="584"/>
  </r>
  <r>
    <x v="0"/>
    <x v="40"/>
    <x v="48"/>
    <x v="585"/>
  </r>
  <r>
    <x v="0"/>
    <x v="225"/>
    <x v="48"/>
    <x v="586"/>
  </r>
  <r>
    <x v="1"/>
    <x v="231"/>
    <x v="48"/>
    <x v="587"/>
  </r>
  <r>
    <x v="3"/>
    <x v="3"/>
    <x v="48"/>
    <x v="588"/>
  </r>
  <r>
    <x v="9"/>
    <x v="135"/>
    <x v="48"/>
    <x v="589"/>
  </r>
  <r>
    <x v="7"/>
    <x v="8"/>
    <x v="48"/>
    <x v="590"/>
  </r>
  <r>
    <x v="7"/>
    <x v="49"/>
    <x v="48"/>
    <x v="591"/>
  </r>
  <r>
    <x v="7"/>
    <x v="112"/>
    <x v="48"/>
    <x v="592"/>
  </r>
  <r>
    <x v="7"/>
    <x v="60"/>
    <x v="48"/>
    <x v="593"/>
  </r>
  <r>
    <x v="7"/>
    <x v="61"/>
    <x v="48"/>
    <x v="594"/>
  </r>
  <r>
    <x v="0"/>
    <x v="193"/>
    <x v="49"/>
    <x v="595"/>
  </r>
  <r>
    <x v="0"/>
    <x v="230"/>
    <x v="49"/>
    <x v="596"/>
  </r>
  <r>
    <x v="0"/>
    <x v="51"/>
    <x v="49"/>
    <x v="597"/>
  </r>
  <r>
    <x v="0"/>
    <x v="25"/>
    <x v="49"/>
    <x v="598"/>
  </r>
  <r>
    <x v="1"/>
    <x v="156"/>
    <x v="49"/>
    <x v="599"/>
  </r>
  <r>
    <x v="5"/>
    <x v="141"/>
    <x v="49"/>
    <x v="600"/>
  </r>
  <r>
    <x v="5"/>
    <x v="86"/>
    <x v="49"/>
    <x v="601"/>
  </r>
  <r>
    <x v="5"/>
    <x v="136"/>
    <x v="49"/>
    <x v="602"/>
  </r>
  <r>
    <x v="6"/>
    <x v="36"/>
    <x v="49"/>
    <x v="603"/>
  </r>
  <r>
    <x v="7"/>
    <x v="39"/>
    <x v="49"/>
    <x v="604"/>
  </r>
  <r>
    <x v="7"/>
    <x v="81"/>
    <x v="49"/>
    <x v="605"/>
  </r>
  <r>
    <x v="7"/>
    <x v="50"/>
    <x v="49"/>
    <x v="606"/>
  </r>
  <r>
    <x v="0"/>
    <x v="18"/>
    <x v="50"/>
    <x v="607"/>
  </r>
  <r>
    <x v="0"/>
    <x v="23"/>
    <x v="50"/>
    <x v="608"/>
  </r>
  <r>
    <x v="13"/>
    <x v="41"/>
    <x v="50"/>
    <x v="609"/>
  </r>
  <r>
    <x v="8"/>
    <x v="164"/>
    <x v="50"/>
    <x v="610"/>
  </r>
  <r>
    <x v="4"/>
    <x v="76"/>
    <x v="50"/>
    <x v="611"/>
  </r>
  <r>
    <x v="9"/>
    <x v="157"/>
    <x v="50"/>
    <x v="612"/>
  </r>
  <r>
    <x v="6"/>
    <x v="160"/>
    <x v="50"/>
    <x v="613"/>
  </r>
  <r>
    <x v="6"/>
    <x v="55"/>
    <x v="50"/>
    <x v="614"/>
  </r>
  <r>
    <x v="6"/>
    <x v="183"/>
    <x v="50"/>
    <x v="615"/>
  </r>
  <r>
    <x v="6"/>
    <x v="69"/>
    <x v="50"/>
    <x v="616"/>
  </r>
  <r>
    <x v="6"/>
    <x v="218"/>
    <x v="50"/>
    <x v="617"/>
  </r>
  <r>
    <x v="7"/>
    <x v="48"/>
    <x v="50"/>
    <x v="618"/>
  </r>
  <r>
    <x v="7"/>
    <x v="22"/>
    <x v="50"/>
    <x v="619"/>
  </r>
  <r>
    <x v="7"/>
    <x v="60"/>
    <x v="50"/>
    <x v="620"/>
  </r>
  <r>
    <x v="7"/>
    <x v="50"/>
    <x v="50"/>
    <x v="621"/>
  </r>
  <r>
    <x v="0"/>
    <x v="205"/>
    <x v="51"/>
    <x v="622"/>
  </r>
  <r>
    <x v="0"/>
    <x v="127"/>
    <x v="51"/>
    <x v="623"/>
  </r>
  <r>
    <x v="14"/>
    <x v="200"/>
    <x v="51"/>
    <x v="624"/>
  </r>
  <r>
    <x v="8"/>
    <x v="181"/>
    <x v="51"/>
    <x v="625"/>
  </r>
  <r>
    <x v="4"/>
    <x v="214"/>
    <x v="51"/>
    <x v="100"/>
  </r>
  <r>
    <x v="9"/>
    <x v="140"/>
    <x v="51"/>
    <x v="626"/>
  </r>
  <r>
    <x v="9"/>
    <x v="157"/>
    <x v="51"/>
    <x v="627"/>
  </r>
  <r>
    <x v="5"/>
    <x v="191"/>
    <x v="51"/>
    <x v="628"/>
  </r>
  <r>
    <x v="5"/>
    <x v="224"/>
    <x v="51"/>
    <x v="629"/>
  </r>
  <r>
    <x v="6"/>
    <x v="79"/>
    <x v="51"/>
    <x v="630"/>
  </r>
  <r>
    <x v="6"/>
    <x v="55"/>
    <x v="51"/>
    <x v="631"/>
  </r>
  <r>
    <x v="6"/>
    <x v="121"/>
    <x v="51"/>
    <x v="632"/>
  </r>
  <r>
    <x v="6"/>
    <x v="80"/>
    <x v="51"/>
    <x v="633"/>
  </r>
  <r>
    <x v="6"/>
    <x v="57"/>
    <x v="51"/>
    <x v="634"/>
  </r>
  <r>
    <x v="7"/>
    <x v="45"/>
    <x v="51"/>
    <x v="635"/>
  </r>
  <r>
    <x v="7"/>
    <x v="21"/>
    <x v="51"/>
    <x v="636"/>
  </r>
  <r>
    <x v="7"/>
    <x v="70"/>
    <x v="51"/>
    <x v="637"/>
  </r>
  <r>
    <x v="7"/>
    <x v="71"/>
    <x v="51"/>
    <x v="638"/>
  </r>
  <r>
    <x v="7"/>
    <x v="177"/>
    <x v="51"/>
    <x v="639"/>
  </r>
  <r>
    <x v="7"/>
    <x v="25"/>
    <x v="51"/>
    <x v="640"/>
  </r>
  <r>
    <x v="16"/>
    <x v="169"/>
    <x v="52"/>
    <x v="641"/>
  </r>
  <r>
    <x v="0"/>
    <x v="93"/>
    <x v="52"/>
    <x v="642"/>
  </r>
  <r>
    <x v="1"/>
    <x v="52"/>
    <x v="52"/>
    <x v="170"/>
  </r>
  <r>
    <x v="14"/>
    <x v="130"/>
    <x v="52"/>
    <x v="643"/>
  </r>
  <r>
    <x v="17"/>
    <x v="234"/>
    <x v="52"/>
    <x v="644"/>
  </r>
  <r>
    <x v="12"/>
    <x v="95"/>
    <x v="52"/>
    <x v="645"/>
  </r>
  <r>
    <x v="5"/>
    <x v="90"/>
    <x v="52"/>
    <x v="646"/>
  </r>
  <r>
    <x v="5"/>
    <x v="191"/>
    <x v="52"/>
    <x v="647"/>
  </r>
  <r>
    <x v="6"/>
    <x v="69"/>
    <x v="52"/>
    <x v="648"/>
  </r>
  <r>
    <x v="6"/>
    <x v="168"/>
    <x v="52"/>
    <x v="649"/>
  </r>
  <r>
    <x v="7"/>
    <x v="6"/>
    <x v="52"/>
    <x v="650"/>
  </r>
  <r>
    <x v="7"/>
    <x v="82"/>
    <x v="52"/>
    <x v="651"/>
  </r>
  <r>
    <x v="7"/>
    <x v="177"/>
    <x v="52"/>
    <x v="652"/>
  </r>
  <r>
    <x v="16"/>
    <x v="151"/>
    <x v="53"/>
    <x v="653"/>
  </r>
  <r>
    <x v="0"/>
    <x v="40"/>
    <x v="53"/>
    <x v="654"/>
  </r>
  <r>
    <x v="0"/>
    <x v="28"/>
    <x v="53"/>
    <x v="655"/>
  </r>
  <r>
    <x v="2"/>
    <x v="129"/>
    <x v="53"/>
    <x v="656"/>
  </r>
  <r>
    <x v="3"/>
    <x v="109"/>
    <x v="53"/>
    <x v="657"/>
  </r>
  <r>
    <x v="5"/>
    <x v="87"/>
    <x v="53"/>
    <x v="658"/>
  </r>
  <r>
    <x v="7"/>
    <x v="45"/>
    <x v="53"/>
    <x v="659"/>
  </r>
  <r>
    <x v="7"/>
    <x v="45"/>
    <x v="53"/>
    <x v="660"/>
  </r>
  <r>
    <x v="7"/>
    <x v="20"/>
    <x v="53"/>
    <x v="661"/>
  </r>
  <r>
    <x v="7"/>
    <x v="49"/>
    <x v="53"/>
    <x v="662"/>
  </r>
  <r>
    <x v="7"/>
    <x v="23"/>
    <x v="53"/>
    <x v="663"/>
  </r>
  <r>
    <x v="7"/>
    <x v="11"/>
    <x v="53"/>
    <x v="664"/>
  </r>
  <r>
    <x v="7"/>
    <x v="112"/>
    <x v="53"/>
    <x v="665"/>
  </r>
  <r>
    <x v="7"/>
    <x v="81"/>
    <x v="53"/>
    <x v="666"/>
  </r>
  <r>
    <x v="16"/>
    <x v="188"/>
    <x v="54"/>
    <x v="667"/>
  </r>
  <r>
    <x v="0"/>
    <x v="230"/>
    <x v="54"/>
    <x v="668"/>
  </r>
  <r>
    <x v="0"/>
    <x v="116"/>
    <x v="54"/>
    <x v="669"/>
  </r>
  <r>
    <x v="1"/>
    <x v="229"/>
    <x v="54"/>
    <x v="670"/>
  </r>
  <r>
    <x v="6"/>
    <x v="142"/>
    <x v="54"/>
    <x v="671"/>
  </r>
  <r>
    <x v="7"/>
    <x v="19"/>
    <x v="54"/>
    <x v="672"/>
  </r>
  <r>
    <x v="7"/>
    <x v="47"/>
    <x v="54"/>
    <x v="673"/>
  </r>
  <r>
    <x v="7"/>
    <x v="47"/>
    <x v="54"/>
    <x v="674"/>
  </r>
  <r>
    <x v="7"/>
    <x v="10"/>
    <x v="54"/>
    <x v="675"/>
  </r>
  <r>
    <x v="7"/>
    <x v="81"/>
    <x v="54"/>
    <x v="676"/>
  </r>
  <r>
    <x v="17"/>
    <x v="75"/>
    <x v="55"/>
    <x v="677"/>
  </r>
  <r>
    <x v="12"/>
    <x v="113"/>
    <x v="55"/>
    <x v="678"/>
  </r>
  <r>
    <x v="5"/>
    <x v="184"/>
    <x v="55"/>
    <x v="679"/>
  </r>
  <r>
    <x v="5"/>
    <x v="96"/>
    <x v="55"/>
    <x v="680"/>
  </r>
  <r>
    <x v="6"/>
    <x v="123"/>
    <x v="55"/>
    <x v="681"/>
  </r>
  <r>
    <x v="6"/>
    <x v="183"/>
    <x v="55"/>
    <x v="682"/>
  </r>
  <r>
    <x v="7"/>
    <x v="8"/>
    <x v="55"/>
    <x v="683"/>
  </r>
  <r>
    <x v="7"/>
    <x v="49"/>
    <x v="55"/>
    <x v="684"/>
  </r>
  <r>
    <x v="7"/>
    <x v="38"/>
    <x v="55"/>
    <x v="685"/>
  </r>
  <r>
    <x v="0"/>
    <x v="83"/>
    <x v="56"/>
    <x v="686"/>
  </r>
  <r>
    <x v="18"/>
    <x v="189"/>
    <x v="56"/>
    <x v="687"/>
  </r>
  <r>
    <x v="2"/>
    <x v="104"/>
    <x v="56"/>
    <x v="688"/>
  </r>
  <r>
    <x v="3"/>
    <x v="210"/>
    <x v="56"/>
    <x v="689"/>
  </r>
  <r>
    <x v="3"/>
    <x v="158"/>
    <x v="56"/>
    <x v="690"/>
  </r>
  <r>
    <x v="8"/>
    <x v="14"/>
    <x v="56"/>
    <x v="691"/>
  </r>
  <r>
    <x v="12"/>
    <x v="94"/>
    <x v="56"/>
    <x v="692"/>
  </r>
  <r>
    <x v="5"/>
    <x v="120"/>
    <x v="56"/>
    <x v="693"/>
  </r>
  <r>
    <x v="6"/>
    <x v="192"/>
    <x v="56"/>
    <x v="694"/>
  </r>
  <r>
    <x v="6"/>
    <x v="97"/>
    <x v="56"/>
    <x v="695"/>
  </r>
  <r>
    <x v="6"/>
    <x v="122"/>
    <x v="56"/>
    <x v="696"/>
  </r>
  <r>
    <x v="6"/>
    <x v="57"/>
    <x v="56"/>
    <x v="697"/>
  </r>
  <r>
    <x v="7"/>
    <x v="153"/>
    <x v="56"/>
    <x v="698"/>
  </r>
  <r>
    <x v="7"/>
    <x v="12"/>
    <x v="56"/>
    <x v="699"/>
  </r>
  <r>
    <x v="7"/>
    <x v="6"/>
    <x v="56"/>
    <x v="700"/>
  </r>
  <r>
    <x v="7"/>
    <x v="161"/>
    <x v="56"/>
    <x v="701"/>
  </r>
  <r>
    <x v="7"/>
    <x v="112"/>
    <x v="56"/>
    <x v="702"/>
  </r>
  <r>
    <x v="0"/>
    <x v="63"/>
    <x v="57"/>
    <x v="703"/>
  </r>
  <r>
    <x v="0"/>
    <x v="162"/>
    <x v="57"/>
    <x v="704"/>
  </r>
  <r>
    <x v="0"/>
    <x v="83"/>
    <x v="57"/>
    <x v="705"/>
  </r>
  <r>
    <x v="1"/>
    <x v="103"/>
    <x v="57"/>
    <x v="706"/>
  </r>
  <r>
    <x v="12"/>
    <x v="236"/>
    <x v="57"/>
    <x v="707"/>
  </r>
  <r>
    <x v="6"/>
    <x v="55"/>
    <x v="57"/>
    <x v="708"/>
  </r>
  <r>
    <x v="6"/>
    <x v="123"/>
    <x v="57"/>
    <x v="709"/>
  </r>
  <r>
    <x v="6"/>
    <x v="118"/>
    <x v="57"/>
    <x v="710"/>
  </r>
  <r>
    <x v="7"/>
    <x v="7"/>
    <x v="57"/>
    <x v="711"/>
  </r>
  <r>
    <x v="7"/>
    <x v="20"/>
    <x v="57"/>
    <x v="712"/>
  </r>
  <r>
    <x v="7"/>
    <x v="10"/>
    <x v="57"/>
    <x v="713"/>
  </r>
  <r>
    <x v="7"/>
    <x v="92"/>
    <x v="57"/>
    <x v="714"/>
  </r>
  <r>
    <x v="7"/>
    <x v="61"/>
    <x v="57"/>
    <x v="715"/>
  </r>
  <r>
    <x v="0"/>
    <x v="99"/>
    <x v="58"/>
    <x v="716"/>
  </r>
  <r>
    <x v="0"/>
    <x v="179"/>
    <x v="58"/>
    <x v="717"/>
  </r>
  <r>
    <x v="0"/>
    <x v="206"/>
    <x v="58"/>
    <x v="718"/>
  </r>
  <r>
    <x v="0"/>
    <x v="190"/>
    <x v="58"/>
    <x v="719"/>
  </r>
  <r>
    <x v="0"/>
    <x v="83"/>
    <x v="58"/>
    <x v="720"/>
  </r>
  <r>
    <x v="1"/>
    <x v="62"/>
    <x v="58"/>
    <x v="721"/>
  </r>
  <r>
    <x v="2"/>
    <x v="64"/>
    <x v="58"/>
    <x v="722"/>
  </r>
  <r>
    <x v="4"/>
    <x v="4"/>
    <x v="58"/>
    <x v="170"/>
  </r>
  <r>
    <x v="4"/>
    <x v="195"/>
    <x v="58"/>
    <x v="723"/>
  </r>
  <r>
    <x v="9"/>
    <x v="15"/>
    <x v="58"/>
    <x v="724"/>
  </r>
  <r>
    <x v="9"/>
    <x v="148"/>
    <x v="58"/>
    <x v="725"/>
  </r>
  <r>
    <x v="12"/>
    <x v="32"/>
    <x v="58"/>
    <x v="726"/>
  </r>
  <r>
    <x v="5"/>
    <x v="166"/>
    <x v="58"/>
    <x v="727"/>
  </r>
  <r>
    <x v="19"/>
    <x v="110"/>
    <x v="58"/>
    <x v="728"/>
  </r>
  <r>
    <x v="6"/>
    <x v="89"/>
    <x v="58"/>
    <x v="729"/>
  </r>
  <r>
    <x v="6"/>
    <x v="47"/>
    <x v="58"/>
    <x v="730"/>
  </r>
  <r>
    <x v="6"/>
    <x v="98"/>
    <x v="58"/>
    <x v="731"/>
  </r>
  <r>
    <x v="6"/>
    <x v="114"/>
    <x v="58"/>
    <x v="732"/>
  </r>
  <r>
    <x v="6"/>
    <x v="167"/>
    <x v="58"/>
    <x v="733"/>
  </r>
  <r>
    <x v="6"/>
    <x v="152"/>
    <x v="58"/>
    <x v="734"/>
  </r>
  <r>
    <x v="6"/>
    <x v="152"/>
    <x v="58"/>
    <x v="735"/>
  </r>
  <r>
    <x v="6"/>
    <x v="118"/>
    <x v="58"/>
    <x v="736"/>
  </r>
  <r>
    <x v="6"/>
    <x v="35"/>
    <x v="58"/>
    <x v="737"/>
  </r>
  <r>
    <x v="7"/>
    <x v="59"/>
    <x v="58"/>
    <x v="738"/>
  </r>
  <r>
    <x v="7"/>
    <x v="20"/>
    <x v="58"/>
    <x v="739"/>
  </r>
  <r>
    <x v="7"/>
    <x v="70"/>
    <x v="58"/>
    <x v="740"/>
  </r>
  <r>
    <x v="7"/>
    <x v="115"/>
    <x v="58"/>
    <x v="741"/>
  </r>
  <r>
    <x v="7"/>
    <x v="71"/>
    <x v="58"/>
    <x v="742"/>
  </r>
  <r>
    <x v="7"/>
    <x v="82"/>
    <x v="58"/>
    <x v="743"/>
  </r>
  <r>
    <x v="7"/>
    <x v="60"/>
    <x v="58"/>
    <x v="744"/>
  </r>
  <r>
    <x v="0"/>
    <x v="63"/>
    <x v="59"/>
    <x v="745"/>
  </r>
  <r>
    <x v="0"/>
    <x v="190"/>
    <x v="59"/>
    <x v="746"/>
  </r>
  <r>
    <x v="0"/>
    <x v="24"/>
    <x v="59"/>
    <x v="747"/>
  </r>
  <r>
    <x v="1"/>
    <x v="163"/>
    <x v="59"/>
    <x v="748"/>
  </r>
  <r>
    <x v="14"/>
    <x v="232"/>
    <x v="59"/>
    <x v="749"/>
  </r>
  <r>
    <x v="14"/>
    <x v="196"/>
    <x v="59"/>
    <x v="170"/>
  </r>
  <r>
    <x v="4"/>
    <x v="4"/>
    <x v="59"/>
    <x v="750"/>
  </r>
  <r>
    <x v="5"/>
    <x v="176"/>
    <x v="59"/>
    <x v="751"/>
  </r>
  <r>
    <x v="6"/>
    <x v="167"/>
    <x v="59"/>
    <x v="752"/>
  </r>
  <r>
    <x v="7"/>
    <x v="49"/>
    <x v="59"/>
    <x v="753"/>
  </r>
  <r>
    <x v="7"/>
    <x v="70"/>
    <x v="59"/>
    <x v="90"/>
  </r>
  <r>
    <x v="7"/>
    <x v="115"/>
    <x v="59"/>
    <x v="754"/>
  </r>
  <r>
    <x v="7"/>
    <x v="126"/>
    <x v="59"/>
    <x v="755"/>
  </r>
  <r>
    <x v="7"/>
    <x v="60"/>
    <x v="59"/>
    <x v="756"/>
  </r>
  <r>
    <x v="0"/>
    <x v="204"/>
    <x v="60"/>
    <x v="757"/>
  </r>
  <r>
    <x v="0"/>
    <x v="230"/>
    <x v="60"/>
    <x v="758"/>
  </r>
  <r>
    <x v="0"/>
    <x v="230"/>
    <x v="60"/>
    <x v="759"/>
  </r>
  <r>
    <x v="0"/>
    <x v="172"/>
    <x v="60"/>
    <x v="760"/>
  </r>
  <r>
    <x v="0"/>
    <x v="28"/>
    <x v="60"/>
    <x v="761"/>
  </r>
  <r>
    <x v="0"/>
    <x v="190"/>
    <x v="60"/>
    <x v="762"/>
  </r>
  <r>
    <x v="14"/>
    <x v="219"/>
    <x v="60"/>
    <x v="763"/>
  </r>
  <r>
    <x v="8"/>
    <x v="197"/>
    <x v="60"/>
    <x v="764"/>
  </r>
  <r>
    <x v="12"/>
    <x v="94"/>
    <x v="60"/>
    <x v="765"/>
  </r>
  <r>
    <x v="5"/>
    <x v="221"/>
    <x v="60"/>
    <x v="766"/>
  </r>
  <r>
    <x v="7"/>
    <x v="45"/>
    <x v="60"/>
    <x v="767"/>
  </r>
  <r>
    <x v="7"/>
    <x v="46"/>
    <x v="60"/>
    <x v="768"/>
  </r>
  <r>
    <x v="7"/>
    <x v="20"/>
    <x v="60"/>
    <x v="769"/>
  </r>
  <r>
    <x v="7"/>
    <x v="70"/>
    <x v="60"/>
    <x v="770"/>
  </r>
  <r>
    <x v="7"/>
    <x v="24"/>
    <x v="60"/>
    <x v="771"/>
  </r>
  <r>
    <x v="0"/>
    <x v="21"/>
    <x v="61"/>
    <x v="772"/>
  </r>
  <r>
    <x v="8"/>
    <x v="73"/>
    <x v="61"/>
    <x v="773"/>
  </r>
  <r>
    <x v="5"/>
    <x v="233"/>
    <x v="61"/>
    <x v="774"/>
  </r>
  <r>
    <x v="19"/>
    <x v="110"/>
    <x v="61"/>
    <x v="775"/>
  </r>
  <r>
    <x v="6"/>
    <x v="142"/>
    <x v="61"/>
    <x v="776"/>
  </r>
  <r>
    <x v="6"/>
    <x v="160"/>
    <x v="61"/>
    <x v="777"/>
  </r>
  <r>
    <x v="6"/>
    <x v="43"/>
    <x v="61"/>
    <x v="778"/>
  </r>
  <r>
    <x v="6"/>
    <x v="57"/>
    <x v="61"/>
    <x v="779"/>
  </r>
  <r>
    <x v="6"/>
    <x v="57"/>
    <x v="61"/>
    <x v="780"/>
  </r>
  <r>
    <x v="7"/>
    <x v="17"/>
    <x v="61"/>
    <x v="781"/>
  </r>
  <r>
    <x v="7"/>
    <x v="37"/>
    <x v="61"/>
    <x v="782"/>
  </r>
  <r>
    <x v="7"/>
    <x v="124"/>
    <x v="61"/>
    <x v="783"/>
  </r>
  <r>
    <x v="7"/>
    <x v="60"/>
    <x v="61"/>
    <x v="784"/>
  </r>
  <r>
    <x v="16"/>
    <x v="151"/>
    <x v="62"/>
    <x v="785"/>
  </r>
  <r>
    <x v="0"/>
    <x v="83"/>
    <x v="62"/>
    <x v="786"/>
  </r>
  <r>
    <x v="0"/>
    <x v="116"/>
    <x v="62"/>
    <x v="787"/>
  </r>
  <r>
    <x v="1"/>
    <x v="223"/>
    <x v="62"/>
    <x v="788"/>
  </r>
  <r>
    <x v="9"/>
    <x v="215"/>
    <x v="62"/>
    <x v="789"/>
  </r>
  <r>
    <x v="9"/>
    <x v="148"/>
    <x v="62"/>
    <x v="170"/>
  </r>
  <r>
    <x v="5"/>
    <x v="33"/>
    <x v="62"/>
    <x v="790"/>
  </r>
  <r>
    <x v="5"/>
    <x v="34"/>
    <x v="62"/>
    <x v="791"/>
  </r>
  <r>
    <x v="6"/>
    <x v="55"/>
    <x v="62"/>
    <x v="792"/>
  </r>
  <r>
    <x v="6"/>
    <x v="56"/>
    <x v="62"/>
    <x v="793"/>
  </r>
  <r>
    <x v="7"/>
    <x v="59"/>
    <x v="62"/>
    <x v="794"/>
  </r>
  <r>
    <x v="7"/>
    <x v="59"/>
    <x v="62"/>
    <x v="795"/>
  </r>
  <r>
    <x v="7"/>
    <x v="143"/>
    <x v="62"/>
    <x v="796"/>
  </r>
  <r>
    <x v="7"/>
    <x v="46"/>
    <x v="62"/>
    <x v="797"/>
  </r>
  <r>
    <x v="7"/>
    <x v="49"/>
    <x v="62"/>
    <x v="798"/>
  </r>
  <r>
    <x v="7"/>
    <x v="112"/>
    <x v="62"/>
    <x v="799"/>
  </r>
  <r>
    <x v="0"/>
    <x v="63"/>
    <x v="63"/>
    <x v="800"/>
  </r>
  <r>
    <x v="0"/>
    <x v="117"/>
    <x v="63"/>
    <x v="801"/>
  </r>
  <r>
    <x v="1"/>
    <x v="216"/>
    <x v="63"/>
    <x v="802"/>
  </r>
  <r>
    <x v="14"/>
    <x v="209"/>
    <x v="63"/>
    <x v="803"/>
  </r>
  <r>
    <x v="17"/>
    <x v="76"/>
    <x v="63"/>
    <x v="804"/>
  </r>
  <r>
    <x v="5"/>
    <x v="78"/>
    <x v="63"/>
    <x v="805"/>
  </r>
  <r>
    <x v="6"/>
    <x v="98"/>
    <x v="63"/>
    <x v="806"/>
  </r>
  <r>
    <x v="6"/>
    <x v="152"/>
    <x v="63"/>
    <x v="807"/>
  </r>
  <r>
    <x v="7"/>
    <x v="49"/>
    <x v="63"/>
    <x v="808"/>
  </r>
  <r>
    <x v="16"/>
    <x v="188"/>
    <x v="64"/>
    <x v="809"/>
  </r>
  <r>
    <x v="16"/>
    <x v="178"/>
    <x v="64"/>
    <x v="810"/>
  </r>
  <r>
    <x v="1"/>
    <x v="128"/>
    <x v="64"/>
    <x v="811"/>
  </r>
  <r>
    <x v="2"/>
    <x v="2"/>
    <x v="64"/>
    <x v="812"/>
  </r>
  <r>
    <x v="8"/>
    <x v="120"/>
    <x v="64"/>
    <x v="813"/>
  </r>
  <r>
    <x v="12"/>
    <x v="95"/>
    <x v="64"/>
    <x v="814"/>
  </r>
  <r>
    <x v="5"/>
    <x v="141"/>
    <x v="64"/>
    <x v="815"/>
  </r>
  <r>
    <x v="5"/>
    <x v="98"/>
    <x v="64"/>
    <x v="816"/>
  </r>
  <r>
    <x v="6"/>
    <x v="48"/>
    <x v="64"/>
    <x v="817"/>
  </r>
  <r>
    <x v="6"/>
    <x v="116"/>
    <x v="64"/>
    <x v="818"/>
  </r>
  <r>
    <x v="6"/>
    <x v="57"/>
    <x v="64"/>
    <x v="819"/>
  </r>
  <r>
    <x v="6"/>
    <x v="144"/>
    <x v="64"/>
    <x v="820"/>
  </r>
  <r>
    <x v="6"/>
    <x v="167"/>
    <x v="64"/>
    <x v="821"/>
  </r>
  <r>
    <x v="6"/>
    <x v="118"/>
    <x v="64"/>
    <x v="822"/>
  </r>
  <r>
    <x v="7"/>
    <x v="0"/>
    <x v="64"/>
    <x v="823"/>
  </r>
  <r>
    <x v="7"/>
    <x v="145"/>
    <x v="64"/>
    <x v="824"/>
  </r>
  <r>
    <x v="7"/>
    <x v="203"/>
    <x v="64"/>
    <x v="825"/>
  </r>
  <r>
    <x v="7"/>
    <x v="161"/>
    <x v="64"/>
    <x v="826"/>
  </r>
  <r>
    <x v="7"/>
    <x v="25"/>
    <x v="64"/>
    <x v="827"/>
  </r>
  <r>
    <x v="7"/>
    <x v="50"/>
    <x v="64"/>
    <x v="828"/>
  </r>
  <r>
    <x v="10"/>
    <x v="26"/>
    <x v="65"/>
    <x v="829"/>
  </r>
  <r>
    <x v="16"/>
    <x v="169"/>
    <x v="65"/>
    <x v="830"/>
  </r>
  <r>
    <x v="0"/>
    <x v="126"/>
    <x v="65"/>
    <x v="831"/>
  </r>
  <r>
    <x v="18"/>
    <x v="189"/>
    <x v="65"/>
    <x v="832"/>
  </r>
  <r>
    <x v="2"/>
    <x v="129"/>
    <x v="65"/>
    <x v="833"/>
  </r>
  <r>
    <x v="6"/>
    <x v="150"/>
    <x v="65"/>
    <x v="834"/>
  </r>
  <r>
    <x v="6"/>
    <x v="55"/>
    <x v="65"/>
    <x v="835"/>
  </r>
  <r>
    <x v="6"/>
    <x v="168"/>
    <x v="65"/>
    <x v="836"/>
  </r>
  <r>
    <x v="7"/>
    <x v="20"/>
    <x v="65"/>
    <x v="837"/>
  </r>
  <r>
    <x v="7"/>
    <x v="23"/>
    <x v="65"/>
    <x v="838"/>
  </r>
  <r>
    <x v="7"/>
    <x v="71"/>
    <x v="65"/>
    <x v="839"/>
  </r>
  <r>
    <x v="7"/>
    <x v="39"/>
    <x v="65"/>
    <x v="840"/>
  </r>
  <r>
    <x v="0"/>
    <x v="205"/>
    <x v="66"/>
    <x v="841"/>
  </r>
  <r>
    <x v="18"/>
    <x v="102"/>
    <x v="66"/>
    <x v="842"/>
  </r>
  <r>
    <x v="1"/>
    <x v="208"/>
    <x v="66"/>
    <x v="843"/>
  </r>
  <r>
    <x v="6"/>
    <x v="142"/>
    <x v="66"/>
    <x v="844"/>
  </r>
  <r>
    <x v="6"/>
    <x v="36"/>
    <x v="66"/>
    <x v="845"/>
  </r>
  <r>
    <x v="18"/>
    <x v="107"/>
    <x v="67"/>
    <x v="846"/>
  </r>
  <r>
    <x v="3"/>
    <x v="3"/>
    <x v="67"/>
    <x v="170"/>
  </r>
  <r>
    <x v="9"/>
    <x v="186"/>
    <x v="67"/>
    <x v="847"/>
  </r>
  <r>
    <x v="9"/>
    <x v="211"/>
    <x v="67"/>
    <x v="848"/>
  </r>
  <r>
    <x v="17"/>
    <x v="75"/>
    <x v="67"/>
    <x v="849"/>
  </r>
  <r>
    <x v="6"/>
    <x v="225"/>
    <x v="67"/>
    <x v="850"/>
  </r>
  <r>
    <x v="7"/>
    <x v="7"/>
    <x v="67"/>
    <x v="851"/>
  </r>
  <r>
    <x v="7"/>
    <x v="25"/>
    <x v="67"/>
    <x v="852"/>
  </r>
  <r>
    <x v="7"/>
    <x v="60"/>
    <x v="67"/>
    <x v="853"/>
  </r>
  <r>
    <x v="3"/>
    <x v="158"/>
    <x v="68"/>
    <x v="854"/>
  </r>
  <r>
    <x v="8"/>
    <x v="14"/>
    <x v="68"/>
    <x v="855"/>
  </r>
  <r>
    <x v="8"/>
    <x v="220"/>
    <x v="68"/>
    <x v="856"/>
  </r>
  <r>
    <x v="8"/>
    <x v="66"/>
    <x v="68"/>
    <x v="857"/>
  </r>
  <r>
    <x v="12"/>
    <x v="175"/>
    <x v="68"/>
    <x v="858"/>
  </r>
  <r>
    <x v="6"/>
    <x v="79"/>
    <x v="68"/>
    <x v="859"/>
  </r>
  <r>
    <x v="6"/>
    <x v="123"/>
    <x v="68"/>
    <x v="860"/>
  </r>
  <r>
    <x v="6"/>
    <x v="35"/>
    <x v="68"/>
    <x v="861"/>
  </r>
  <r>
    <x v="7"/>
    <x v="124"/>
    <x v="68"/>
    <x v="862"/>
  </r>
  <r>
    <x v="0"/>
    <x v="93"/>
    <x v="69"/>
    <x v="863"/>
  </r>
  <r>
    <x v="2"/>
    <x v="13"/>
    <x v="69"/>
    <x v="864"/>
  </r>
  <r>
    <x v="3"/>
    <x v="109"/>
    <x v="69"/>
    <x v="865"/>
  </r>
  <r>
    <x v="5"/>
    <x v="224"/>
    <x v="69"/>
    <x v="866"/>
  </r>
  <r>
    <x v="6"/>
    <x v="159"/>
    <x v="69"/>
    <x v="867"/>
  </r>
  <r>
    <x v="6"/>
    <x v="55"/>
    <x v="69"/>
    <x v="868"/>
  </r>
  <r>
    <x v="6"/>
    <x v="123"/>
    <x v="69"/>
    <x v="869"/>
  </r>
  <r>
    <x v="6"/>
    <x v="44"/>
    <x v="69"/>
    <x v="870"/>
  </r>
  <r>
    <x v="7"/>
    <x v="143"/>
    <x v="69"/>
    <x v="871"/>
  </r>
  <r>
    <x v="7"/>
    <x v="213"/>
    <x v="69"/>
    <x v="872"/>
  </r>
  <r>
    <x v="7"/>
    <x v="48"/>
    <x v="69"/>
    <x v="873"/>
  </r>
  <r>
    <x v="0"/>
    <x v="179"/>
    <x v="70"/>
    <x v="874"/>
  </r>
  <r>
    <x v="1"/>
    <x v="156"/>
    <x v="70"/>
    <x v="875"/>
  </r>
  <r>
    <x v="8"/>
    <x v="85"/>
    <x v="70"/>
    <x v="876"/>
  </r>
  <r>
    <x v="8"/>
    <x v="228"/>
    <x v="70"/>
    <x v="877"/>
  </r>
  <r>
    <x v="9"/>
    <x v="31"/>
    <x v="70"/>
    <x v="878"/>
  </r>
  <r>
    <x v="5"/>
    <x v="201"/>
    <x v="70"/>
    <x v="879"/>
  </r>
  <r>
    <x v="5"/>
    <x v="87"/>
    <x v="70"/>
    <x v="880"/>
  </r>
  <r>
    <x v="6"/>
    <x v="89"/>
    <x v="70"/>
    <x v="881"/>
  </r>
  <r>
    <x v="6"/>
    <x v="225"/>
    <x v="70"/>
    <x v="882"/>
  </r>
  <r>
    <x v="6"/>
    <x v="114"/>
    <x v="70"/>
    <x v="883"/>
  </r>
  <r>
    <x v="6"/>
    <x v="118"/>
    <x v="70"/>
    <x v="884"/>
  </r>
  <r>
    <x v="7"/>
    <x v="46"/>
    <x v="70"/>
    <x v="885"/>
  </r>
  <r>
    <x v="7"/>
    <x v="82"/>
    <x v="70"/>
    <x v="886"/>
  </r>
  <r>
    <x v="7"/>
    <x v="91"/>
    <x v="70"/>
    <x v="887"/>
  </r>
  <r>
    <x v="16"/>
    <x v="154"/>
    <x v="71"/>
    <x v="888"/>
  </r>
  <r>
    <x v="16"/>
    <x v="108"/>
    <x v="71"/>
    <x v="889"/>
  </r>
  <r>
    <x v="0"/>
    <x v="100"/>
    <x v="71"/>
    <x v="890"/>
  </r>
  <r>
    <x v="0"/>
    <x v="46"/>
    <x v="71"/>
    <x v="891"/>
  </r>
  <r>
    <x v="0"/>
    <x v="162"/>
    <x v="71"/>
    <x v="892"/>
  </r>
  <r>
    <x v="0"/>
    <x v="25"/>
    <x v="71"/>
    <x v="824"/>
  </r>
  <r>
    <x v="1"/>
    <x v="173"/>
    <x v="71"/>
    <x v="893"/>
  </r>
  <r>
    <x v="14"/>
    <x v="130"/>
    <x v="71"/>
    <x v="170"/>
  </r>
  <r>
    <x v="8"/>
    <x v="198"/>
    <x v="71"/>
    <x v="894"/>
  </r>
  <r>
    <x v="4"/>
    <x v="139"/>
    <x v="71"/>
    <x v="895"/>
  </r>
  <r>
    <x v="12"/>
    <x v="77"/>
    <x v="71"/>
    <x v="896"/>
  </r>
  <r>
    <x v="6"/>
    <x v="182"/>
    <x v="71"/>
    <x v="897"/>
  </r>
  <r>
    <x v="7"/>
    <x v="7"/>
    <x v="71"/>
    <x v="898"/>
  </r>
  <r>
    <x v="7"/>
    <x v="8"/>
    <x v="71"/>
    <x v="899"/>
  </r>
  <r>
    <x v="7"/>
    <x v="46"/>
    <x v="71"/>
    <x v="900"/>
  </r>
  <r>
    <x v="7"/>
    <x v="22"/>
    <x v="71"/>
    <x v="901"/>
  </r>
  <r>
    <x v="7"/>
    <x v="115"/>
    <x v="71"/>
    <x v="902"/>
  </r>
  <r>
    <x v="7"/>
    <x v="112"/>
    <x v="71"/>
    <x v="903"/>
  </r>
  <r>
    <x v="7"/>
    <x v="24"/>
    <x v="71"/>
    <x v="904"/>
  </r>
  <r>
    <x v="0"/>
    <x v="206"/>
    <x v="72"/>
    <x v="905"/>
  </r>
  <r>
    <x v="18"/>
    <x v="195"/>
    <x v="72"/>
    <x v="906"/>
  </r>
  <r>
    <x v="1"/>
    <x v="231"/>
    <x v="72"/>
    <x v="907"/>
  </r>
  <r>
    <x v="2"/>
    <x v="226"/>
    <x v="72"/>
    <x v="170"/>
  </r>
  <r>
    <x v="4"/>
    <x v="214"/>
    <x v="72"/>
    <x v="908"/>
  </r>
  <r>
    <x v="9"/>
    <x v="67"/>
    <x v="72"/>
    <x v="909"/>
  </r>
  <r>
    <x v="6"/>
    <x v="68"/>
    <x v="72"/>
    <x v="910"/>
  </r>
  <r>
    <x v="6"/>
    <x v="203"/>
    <x v="72"/>
    <x v="911"/>
  </r>
  <r>
    <x v="6"/>
    <x v="35"/>
    <x v="72"/>
    <x v="912"/>
  </r>
  <r>
    <x v="7"/>
    <x v="19"/>
    <x v="72"/>
    <x v="913"/>
  </r>
  <r>
    <x v="7"/>
    <x v="59"/>
    <x v="72"/>
    <x v="914"/>
  </r>
  <r>
    <x v="7"/>
    <x v="20"/>
    <x v="72"/>
    <x v="915"/>
  </r>
  <r>
    <x v="7"/>
    <x v="49"/>
    <x v="72"/>
    <x v="916"/>
  </r>
  <r>
    <x v="7"/>
    <x v="82"/>
    <x v="72"/>
    <x v="917"/>
  </r>
  <r>
    <x v="8"/>
    <x v="164"/>
    <x v="73"/>
    <x v="918"/>
  </r>
  <r>
    <x v="8"/>
    <x v="181"/>
    <x v="73"/>
    <x v="919"/>
  </r>
  <r>
    <x v="12"/>
    <x v="180"/>
    <x v="73"/>
    <x v="920"/>
  </r>
  <r>
    <x v="6"/>
    <x v="122"/>
    <x v="73"/>
    <x v="921"/>
  </r>
  <r>
    <x v="6"/>
    <x v="43"/>
    <x v="73"/>
    <x v="922"/>
  </r>
  <r>
    <x v="6"/>
    <x v="57"/>
    <x v="73"/>
    <x v="923"/>
  </r>
  <r>
    <x v="7"/>
    <x v="193"/>
    <x v="73"/>
    <x v="924"/>
  </r>
  <r>
    <x v="7"/>
    <x v="17"/>
    <x v="73"/>
    <x v="925"/>
  </r>
  <r>
    <x v="7"/>
    <x v="12"/>
    <x v="73"/>
    <x v="926"/>
  </r>
  <r>
    <x v="7"/>
    <x v="48"/>
    <x v="73"/>
    <x v="927"/>
  </r>
  <r>
    <x v="5"/>
    <x v="33"/>
    <x v="74"/>
    <x v="928"/>
  </r>
  <r>
    <x v="5"/>
    <x v="106"/>
    <x v="74"/>
    <x v="929"/>
  </r>
  <r>
    <x v="6"/>
    <x v="159"/>
    <x v="74"/>
    <x v="930"/>
  </r>
  <r>
    <x v="7"/>
    <x v="58"/>
    <x v="74"/>
    <x v="931"/>
  </r>
  <r>
    <x v="7"/>
    <x v="8"/>
    <x v="74"/>
    <x v="932"/>
  </r>
  <r>
    <x v="7"/>
    <x v="124"/>
    <x v="74"/>
    <x v="933"/>
  </r>
  <r>
    <x v="7"/>
    <x v="10"/>
    <x v="74"/>
    <x v="934"/>
  </r>
  <r>
    <x v="0"/>
    <x v="125"/>
    <x v="75"/>
    <x v="935"/>
  </r>
  <r>
    <x v="14"/>
    <x v="200"/>
    <x v="75"/>
    <x v="936"/>
  </r>
  <r>
    <x v="9"/>
    <x v="30"/>
    <x v="75"/>
    <x v="937"/>
  </r>
  <r>
    <x v="9"/>
    <x v="140"/>
    <x v="75"/>
    <x v="938"/>
  </r>
  <r>
    <x v="6"/>
    <x v="45"/>
    <x v="75"/>
    <x v="939"/>
  </r>
  <r>
    <x v="6"/>
    <x v="192"/>
    <x v="75"/>
    <x v="940"/>
  </r>
  <r>
    <x v="6"/>
    <x v="42"/>
    <x v="75"/>
    <x v="941"/>
  </r>
  <r>
    <x v="6"/>
    <x v="36"/>
    <x v="75"/>
    <x v="942"/>
  </r>
  <r>
    <x v="7"/>
    <x v="7"/>
    <x v="75"/>
    <x v="943"/>
  </r>
  <r>
    <x v="7"/>
    <x v="39"/>
    <x v="75"/>
    <x v="944"/>
  </r>
  <r>
    <x v="7"/>
    <x v="60"/>
    <x v="75"/>
    <x v="945"/>
  </r>
  <r>
    <x v="7"/>
    <x v="61"/>
    <x v="75"/>
    <x v="946"/>
  </r>
  <r>
    <x v="0"/>
    <x v="230"/>
    <x v="76"/>
    <x v="947"/>
  </r>
  <r>
    <x v="6"/>
    <x v="56"/>
    <x v="76"/>
    <x v="948"/>
  </r>
  <r>
    <x v="7"/>
    <x v="19"/>
    <x v="76"/>
    <x v="949"/>
  </r>
  <r>
    <x v="7"/>
    <x v="47"/>
    <x v="76"/>
    <x v="950"/>
  </r>
  <r>
    <x v="7"/>
    <x v="39"/>
    <x v="76"/>
    <x v="951"/>
  </r>
  <r>
    <x v="7"/>
    <x v="91"/>
    <x v="76"/>
    <x v="952"/>
  </r>
  <r>
    <x v="0"/>
    <x v="212"/>
    <x v="77"/>
    <x v="953"/>
  </r>
  <r>
    <x v="0"/>
    <x v="127"/>
    <x v="77"/>
    <x v="954"/>
  </r>
  <r>
    <x v="1"/>
    <x v="103"/>
    <x v="77"/>
    <x v="955"/>
  </r>
  <r>
    <x v="2"/>
    <x v="64"/>
    <x v="77"/>
    <x v="956"/>
  </r>
  <r>
    <x v="8"/>
    <x v="133"/>
    <x v="77"/>
    <x v="957"/>
  </r>
  <r>
    <x v="9"/>
    <x v="15"/>
    <x v="77"/>
    <x v="958"/>
  </r>
  <r>
    <x v="9"/>
    <x v="15"/>
    <x v="77"/>
    <x v="959"/>
  </r>
  <r>
    <x v="9"/>
    <x v="157"/>
    <x v="77"/>
    <x v="960"/>
  </r>
  <r>
    <x v="5"/>
    <x v="136"/>
    <x v="77"/>
    <x v="961"/>
  </r>
  <r>
    <x v="6"/>
    <x v="111"/>
    <x v="77"/>
    <x v="962"/>
  </r>
  <r>
    <x v="6"/>
    <x v="80"/>
    <x v="77"/>
    <x v="963"/>
  </r>
  <r>
    <x v="6"/>
    <x v="69"/>
    <x v="77"/>
    <x v="964"/>
  </r>
  <r>
    <x v="7"/>
    <x v="8"/>
    <x v="77"/>
    <x v="965"/>
  </r>
  <r>
    <x v="7"/>
    <x v="49"/>
    <x v="77"/>
    <x v="966"/>
  </r>
  <r>
    <x v="7"/>
    <x v="71"/>
    <x v="77"/>
    <x v="967"/>
  </r>
  <r>
    <x v="7"/>
    <x v="126"/>
    <x v="77"/>
    <x v="968"/>
  </r>
  <r>
    <x v="7"/>
    <x v="112"/>
    <x v="77"/>
    <x v="167"/>
  </r>
  <r>
    <x v="4"/>
    <x v="234"/>
    <x v="78"/>
    <x v="170"/>
  </r>
  <r>
    <x v="5"/>
    <x v="88"/>
    <x v="78"/>
    <x v="969"/>
  </r>
  <r>
    <x v="6"/>
    <x v="121"/>
    <x v="78"/>
    <x v="970"/>
  </r>
  <r>
    <x v="6"/>
    <x v="182"/>
    <x v="78"/>
    <x v="971"/>
  </r>
  <r>
    <x v="6"/>
    <x v="114"/>
    <x v="78"/>
    <x v="972"/>
  </r>
  <r>
    <x v="6"/>
    <x v="183"/>
    <x v="78"/>
    <x v="973"/>
  </r>
  <r>
    <x v="7"/>
    <x v="213"/>
    <x v="78"/>
    <x v="974"/>
  </r>
  <r>
    <x v="7"/>
    <x v="47"/>
    <x v="78"/>
    <x v="975"/>
  </r>
  <r>
    <x v="7"/>
    <x v="11"/>
    <x v="78"/>
    <x v="976"/>
  </r>
  <r>
    <x v="7"/>
    <x v="81"/>
    <x v="78"/>
    <x v="977"/>
  </r>
  <r>
    <x v="7"/>
    <x v="177"/>
    <x v="78"/>
    <x v="978"/>
  </r>
  <r>
    <x v="7"/>
    <x v="61"/>
    <x v="78"/>
    <x v="979"/>
  </r>
  <r>
    <x v="0"/>
    <x v="83"/>
    <x v="79"/>
    <x v="980"/>
  </r>
  <r>
    <x v="0"/>
    <x v="83"/>
    <x v="79"/>
    <x v="981"/>
  </r>
  <r>
    <x v="0"/>
    <x v="84"/>
    <x v="79"/>
    <x v="982"/>
  </r>
  <r>
    <x v="1"/>
    <x v="52"/>
    <x v="79"/>
    <x v="170"/>
  </r>
  <r>
    <x v="2"/>
    <x v="104"/>
    <x v="79"/>
    <x v="983"/>
  </r>
  <r>
    <x v="14"/>
    <x v="53"/>
    <x v="79"/>
    <x v="984"/>
  </r>
  <r>
    <x v="8"/>
    <x v="29"/>
    <x v="79"/>
    <x v="985"/>
  </r>
  <r>
    <x v="9"/>
    <x v="135"/>
    <x v="79"/>
    <x v="986"/>
  </r>
  <r>
    <x v="9"/>
    <x v="217"/>
    <x v="79"/>
    <x v="987"/>
  </r>
  <r>
    <x v="7"/>
    <x v="48"/>
    <x v="79"/>
    <x v="988"/>
  </r>
  <r>
    <x v="7"/>
    <x v="21"/>
    <x v="79"/>
    <x v="989"/>
  </r>
  <r>
    <x v="7"/>
    <x v="6"/>
    <x v="79"/>
    <x v="990"/>
  </r>
  <r>
    <x v="16"/>
    <x v="155"/>
    <x v="80"/>
    <x v="991"/>
  </r>
  <r>
    <x v="13"/>
    <x v="41"/>
    <x v="80"/>
    <x v="992"/>
  </r>
  <r>
    <x v="8"/>
    <x v="227"/>
    <x v="80"/>
    <x v="993"/>
  </r>
  <r>
    <x v="15"/>
    <x v="74"/>
    <x v="80"/>
    <x v="994"/>
  </r>
  <r>
    <x v="5"/>
    <x v="184"/>
    <x v="80"/>
    <x v="995"/>
  </r>
  <r>
    <x v="7"/>
    <x v="8"/>
    <x v="80"/>
    <x v="996"/>
  </r>
  <r>
    <x v="7"/>
    <x v="9"/>
    <x v="80"/>
    <x v="997"/>
  </r>
  <r>
    <x v="7"/>
    <x v="115"/>
    <x v="80"/>
    <x v="998"/>
  </r>
  <r>
    <x v="7"/>
    <x v="39"/>
    <x v="80"/>
    <x v="999"/>
  </r>
  <r>
    <x v="7"/>
    <x v="81"/>
    <x v="80"/>
    <x v="1000"/>
  </r>
  <r>
    <x v="7"/>
    <x v="81"/>
    <x v="80"/>
    <x v="1001"/>
  </r>
  <r>
    <x v="16"/>
    <x v="170"/>
    <x v="81"/>
    <x v="1002"/>
  </r>
  <r>
    <x v="0"/>
    <x v="51"/>
    <x v="81"/>
    <x v="1003"/>
  </r>
  <r>
    <x v="14"/>
    <x v="105"/>
    <x v="81"/>
    <x v="1004"/>
  </r>
  <r>
    <x v="8"/>
    <x v="134"/>
    <x v="81"/>
    <x v="1005"/>
  </r>
  <r>
    <x v="12"/>
    <x v="32"/>
    <x v="81"/>
    <x v="1006"/>
  </r>
  <r>
    <x v="6"/>
    <x v="114"/>
    <x v="81"/>
    <x v="1007"/>
  </r>
  <r>
    <x v="7"/>
    <x v="143"/>
    <x v="81"/>
    <x v="1008"/>
  </r>
  <r>
    <x v="7"/>
    <x v="9"/>
    <x v="81"/>
    <x v="1009"/>
  </r>
  <r>
    <x v="7"/>
    <x v="92"/>
    <x v="81"/>
    <x v="1010"/>
  </r>
  <r>
    <x v="7"/>
    <x v="112"/>
    <x v="81"/>
    <x v="1011"/>
  </r>
  <r>
    <x v="7"/>
    <x v="24"/>
    <x v="81"/>
    <x v="1012"/>
  </r>
  <r>
    <x v="14"/>
    <x v="62"/>
    <x v="82"/>
    <x v="1013"/>
  </r>
  <r>
    <x v="8"/>
    <x v="65"/>
    <x v="82"/>
    <x v="1014"/>
  </r>
  <r>
    <x v="9"/>
    <x v="235"/>
    <x v="82"/>
    <x v="1015"/>
  </r>
  <r>
    <x v="9"/>
    <x v="16"/>
    <x v="82"/>
    <x v="1016"/>
  </r>
  <r>
    <x v="5"/>
    <x v="221"/>
    <x v="82"/>
    <x v="1017"/>
  </r>
  <r>
    <x v="6"/>
    <x v="97"/>
    <x v="82"/>
    <x v="1018"/>
  </r>
  <r>
    <x v="7"/>
    <x v="45"/>
    <x v="82"/>
    <x v="1019"/>
  </r>
  <r>
    <x v="7"/>
    <x v="153"/>
    <x v="82"/>
    <x v="1020"/>
  </r>
  <r>
    <x v="7"/>
    <x v="20"/>
    <x v="82"/>
    <x v="504"/>
  </r>
  <r>
    <x v="7"/>
    <x v="47"/>
    <x v="82"/>
    <x v="1021"/>
  </r>
  <r>
    <x v="7"/>
    <x v="22"/>
    <x v="82"/>
    <x v="439"/>
  </r>
  <r>
    <x v="5"/>
    <x v="96"/>
    <x v="83"/>
    <x v="1022"/>
  </r>
  <r>
    <x v="6"/>
    <x v="225"/>
    <x v="83"/>
    <x v="1023"/>
  </r>
  <r>
    <x v="6"/>
    <x v="69"/>
    <x v="83"/>
    <x v="603"/>
  </r>
  <r>
    <x v="6"/>
    <x v="152"/>
    <x v="83"/>
    <x v="1024"/>
  </r>
  <r>
    <x v="7"/>
    <x v="47"/>
    <x v="83"/>
    <x v="1025"/>
  </r>
  <r>
    <x v="7"/>
    <x v="125"/>
    <x v="83"/>
    <x v="1026"/>
  </r>
  <r>
    <x v="7"/>
    <x v="161"/>
    <x v="83"/>
    <x v="1027"/>
  </r>
  <r>
    <x v="0"/>
    <x v="199"/>
    <x v="84"/>
    <x v="1028"/>
  </r>
  <r>
    <x v="14"/>
    <x v="119"/>
    <x v="84"/>
    <x v="1029"/>
  </r>
  <r>
    <x v="9"/>
    <x v="174"/>
    <x v="84"/>
    <x v="1030"/>
  </r>
  <r>
    <x v="6"/>
    <x v="97"/>
    <x v="84"/>
    <x v="1031"/>
  </r>
  <r>
    <x v="6"/>
    <x v="42"/>
    <x v="84"/>
    <x v="1032"/>
  </r>
  <r>
    <x v="7"/>
    <x v="19"/>
    <x v="84"/>
    <x v="1033"/>
  </r>
  <r>
    <x v="7"/>
    <x v="38"/>
    <x v="84"/>
    <x v="1034"/>
  </r>
  <r>
    <x v="7"/>
    <x v="91"/>
    <x v="84"/>
    <x v="1035"/>
  </r>
  <r>
    <x v="16"/>
    <x v="138"/>
    <x v="85"/>
    <x v="1036"/>
  </r>
  <r>
    <x v="0"/>
    <x v="57"/>
    <x v="85"/>
    <x v="1037"/>
  </r>
  <r>
    <x v="1"/>
    <x v="1"/>
    <x v="85"/>
    <x v="1038"/>
  </r>
  <r>
    <x v="14"/>
    <x v="147"/>
    <x v="85"/>
    <x v="1039"/>
  </r>
  <r>
    <x v="9"/>
    <x v="185"/>
    <x v="85"/>
    <x v="1040"/>
  </r>
  <r>
    <x v="5"/>
    <x v="202"/>
    <x v="85"/>
    <x v="1041"/>
  </r>
  <r>
    <x v="6"/>
    <x v="68"/>
    <x v="85"/>
    <x v="1042"/>
  </r>
  <r>
    <x v="6"/>
    <x v="43"/>
    <x v="85"/>
    <x v="1043"/>
  </r>
  <r>
    <x v="6"/>
    <x v="98"/>
    <x v="85"/>
    <x v="1044"/>
  </r>
  <r>
    <x v="6"/>
    <x v="168"/>
    <x v="85"/>
    <x v="1045"/>
  </r>
  <r>
    <x v="6"/>
    <x v="218"/>
    <x v="85"/>
    <x v="1046"/>
  </r>
  <r>
    <x v="7"/>
    <x v="17"/>
    <x v="85"/>
    <x v="1047"/>
  </r>
  <r>
    <x v="7"/>
    <x v="10"/>
    <x v="85"/>
    <x v="1048"/>
  </r>
  <r>
    <x v="7"/>
    <x v="61"/>
    <x v="85"/>
    <x v="1049"/>
  </r>
  <r>
    <x v="0"/>
    <x v="40"/>
    <x v="86"/>
    <x v="1050"/>
  </r>
  <r>
    <x v="0"/>
    <x v="121"/>
    <x v="86"/>
    <x v="1051"/>
  </r>
  <r>
    <x v="0"/>
    <x v="127"/>
    <x v="86"/>
    <x v="1052"/>
  </r>
  <r>
    <x v="0"/>
    <x v="207"/>
    <x v="86"/>
    <x v="1053"/>
  </r>
  <r>
    <x v="18"/>
    <x v="194"/>
    <x v="86"/>
    <x v="1054"/>
  </r>
  <r>
    <x v="5"/>
    <x v="90"/>
    <x v="86"/>
    <x v="1055"/>
  </r>
  <r>
    <x v="5"/>
    <x v="137"/>
    <x v="86"/>
    <x v="1056"/>
  </r>
  <r>
    <x v="7"/>
    <x v="6"/>
    <x v="86"/>
    <x v="1057"/>
  </r>
  <r>
    <x v="16"/>
    <x v="171"/>
    <x v="87"/>
    <x v="1058"/>
  </r>
  <r>
    <x v="11"/>
    <x v="27"/>
    <x v="87"/>
    <x v="1059"/>
  </r>
  <r>
    <x v="0"/>
    <x v="99"/>
    <x v="87"/>
    <x v="1060"/>
  </r>
  <r>
    <x v="0"/>
    <x v="101"/>
    <x v="87"/>
    <x v="1061"/>
  </r>
  <r>
    <x v="15"/>
    <x v="54"/>
    <x v="87"/>
    <x v="339"/>
  </r>
  <r>
    <x v="9"/>
    <x v="187"/>
    <x v="87"/>
    <x v="1062"/>
  </r>
  <r>
    <x v="17"/>
    <x v="149"/>
    <x v="87"/>
    <x v="1063"/>
  </r>
  <r>
    <x v="12"/>
    <x v="236"/>
    <x v="87"/>
    <x v="1064"/>
  </r>
  <r>
    <x v="6"/>
    <x v="80"/>
    <x v="87"/>
    <x v="1065"/>
  </r>
  <r>
    <x v="6"/>
    <x v="183"/>
    <x v="87"/>
    <x v="1066"/>
  </r>
  <r>
    <x v="6"/>
    <x v="69"/>
    <x v="87"/>
    <x v="1067"/>
  </r>
  <r>
    <x v="7"/>
    <x v="153"/>
    <x v="87"/>
    <x v="1068"/>
  </r>
  <r>
    <x v="7"/>
    <x v="46"/>
    <x v="87"/>
    <x v="1069"/>
  </r>
  <r>
    <x v="7"/>
    <x v="92"/>
    <x v="87"/>
    <x v="1070"/>
  </r>
  <r>
    <x v="10"/>
    <x v="222"/>
    <x v="88"/>
    <x v="1071"/>
  </r>
  <r>
    <x v="3"/>
    <x v="210"/>
    <x v="88"/>
    <x v="1072"/>
  </r>
  <r>
    <x v="3"/>
    <x v="131"/>
    <x v="88"/>
    <x v="1073"/>
  </r>
  <r>
    <x v="9"/>
    <x v="165"/>
    <x v="88"/>
    <x v="1074"/>
  </r>
  <r>
    <x v="5"/>
    <x v="86"/>
    <x v="88"/>
    <x v="1075"/>
  </r>
  <r>
    <x v="5"/>
    <x v="166"/>
    <x v="88"/>
    <x v="720"/>
  </r>
  <r>
    <x v="6"/>
    <x v="167"/>
    <x v="88"/>
    <x v="1076"/>
  </r>
  <r>
    <x v="7"/>
    <x v="12"/>
    <x v="88"/>
    <x v="1077"/>
  </r>
  <r>
    <x v="7"/>
    <x v="46"/>
    <x v="88"/>
    <x v="1078"/>
  </r>
  <r>
    <x v="7"/>
    <x v="47"/>
    <x v="88"/>
    <x v="1079"/>
  </r>
  <r>
    <x v="7"/>
    <x v="21"/>
    <x v="88"/>
    <x v="1080"/>
  </r>
  <r>
    <x v="7"/>
    <x v="145"/>
    <x v="88"/>
    <x v="1081"/>
  </r>
  <r>
    <x v="7"/>
    <x v="24"/>
    <x v="88"/>
    <x v="1082"/>
  </r>
  <r>
    <x v="0"/>
    <x v="18"/>
    <x v="89"/>
    <x v="1083"/>
  </r>
  <r>
    <x v="0"/>
    <x v="72"/>
    <x v="89"/>
    <x v="1084"/>
  </r>
  <r>
    <x v="1"/>
    <x v="229"/>
    <x v="89"/>
    <x v="1085"/>
  </r>
  <r>
    <x v="2"/>
    <x v="113"/>
    <x v="89"/>
    <x v="170"/>
  </r>
  <r>
    <x v="2"/>
    <x v="146"/>
    <x v="89"/>
    <x v="1086"/>
  </r>
  <r>
    <x v="3"/>
    <x v="132"/>
    <x v="89"/>
    <x v="888"/>
  </r>
  <r>
    <x v="9"/>
    <x v="5"/>
    <x v="89"/>
    <x v="1087"/>
  </r>
  <r>
    <x v="5"/>
    <x v="191"/>
    <x v="89"/>
    <x v="1088"/>
  </r>
  <r>
    <x v="6"/>
    <x v="160"/>
    <x v="89"/>
    <x v="1089"/>
  </r>
  <r>
    <x v="6"/>
    <x v="89"/>
    <x v="89"/>
    <x v="1090"/>
  </r>
  <r>
    <x v="6"/>
    <x v="122"/>
    <x v="89"/>
    <x v="1091"/>
  </r>
  <r>
    <x v="7"/>
    <x v="48"/>
    <x v="89"/>
    <x v="1092"/>
  </r>
  <r>
    <x v="7"/>
    <x v="70"/>
    <x v="89"/>
    <x v="1093"/>
  </r>
  <r>
    <x v="7"/>
    <x v="22"/>
    <x v="89"/>
    <x v="1094"/>
  </r>
  <r>
    <x v="7"/>
    <x v="125"/>
    <x v="89"/>
    <x v="1095"/>
  </r>
  <r>
    <x v="7"/>
    <x v="50"/>
    <x v="89"/>
    <x v="1096"/>
  </r>
  <r>
    <x v="16"/>
    <x v="155"/>
    <x v="90"/>
    <x v="170"/>
  </r>
  <r>
    <x v="0"/>
    <x v="18"/>
    <x v="90"/>
    <x v="1097"/>
  </r>
  <r>
    <x v="1"/>
    <x v="223"/>
    <x v="90"/>
    <x v="170"/>
  </r>
  <r>
    <x v="14"/>
    <x v="147"/>
    <x v="90"/>
    <x v="1098"/>
  </r>
  <r>
    <x v="8"/>
    <x v="181"/>
    <x v="90"/>
    <x v="1099"/>
  </r>
  <r>
    <x v="9"/>
    <x v="235"/>
    <x v="90"/>
    <x v="1100"/>
  </r>
  <r>
    <x v="7"/>
    <x v="59"/>
    <x v="90"/>
    <x v="1101"/>
  </r>
  <r>
    <x v="7"/>
    <x v="59"/>
    <x v="90"/>
    <x v="1102"/>
  </r>
  <r>
    <x v="7"/>
    <x v="21"/>
    <x v="90"/>
    <x v="1103"/>
  </r>
  <r>
    <x v="7"/>
    <x v="145"/>
    <x v="90"/>
    <x v="1104"/>
  </r>
  <r>
    <x v="7"/>
    <x v="22"/>
    <x v="90"/>
    <x v="167"/>
  </r>
  <r>
    <x v="16"/>
    <x v="151"/>
    <x v="91"/>
    <x v="1105"/>
  </r>
  <r>
    <x v="0"/>
    <x v="47"/>
    <x v="91"/>
    <x v="1106"/>
  </r>
  <r>
    <x v="0"/>
    <x v="190"/>
    <x v="91"/>
    <x v="1107"/>
  </r>
  <r>
    <x v="1"/>
    <x v="156"/>
    <x v="91"/>
    <x v="1108"/>
  </r>
  <r>
    <x v="9"/>
    <x v="15"/>
    <x v="91"/>
    <x v="1109"/>
  </r>
  <r>
    <x v="9"/>
    <x v="31"/>
    <x v="91"/>
    <x v="1110"/>
  </r>
  <r>
    <x v="9"/>
    <x v="217"/>
    <x v="91"/>
    <x v="1111"/>
  </r>
  <r>
    <x v="9"/>
    <x v="233"/>
    <x v="91"/>
    <x v="1112"/>
  </r>
  <r>
    <x v="5"/>
    <x v="90"/>
    <x v="91"/>
    <x v="1113"/>
  </r>
  <r>
    <x v="19"/>
    <x v="110"/>
    <x v="91"/>
    <x v="1114"/>
  </r>
  <r>
    <x v="6"/>
    <x v="182"/>
    <x v="91"/>
    <x v="792"/>
  </r>
  <r>
    <x v="6"/>
    <x v="80"/>
    <x v="91"/>
    <x v="1115"/>
  </r>
  <r>
    <x v="6"/>
    <x v="57"/>
    <x v="91"/>
    <x v="1116"/>
  </r>
  <r>
    <x v="7"/>
    <x v="143"/>
    <x v="91"/>
    <x v="1117"/>
  </r>
  <r>
    <x v="7"/>
    <x v="213"/>
    <x v="91"/>
    <x v="1118"/>
  </r>
  <r>
    <x v="7"/>
    <x v="60"/>
    <x v="91"/>
    <x v="1119"/>
  </r>
  <r>
    <x v="0"/>
    <x v="179"/>
    <x v="92"/>
    <x v="1120"/>
  </r>
  <r>
    <x v="14"/>
    <x v="196"/>
    <x v="92"/>
    <x v="1121"/>
  </r>
  <r>
    <x v="9"/>
    <x v="165"/>
    <x v="92"/>
    <x v="1122"/>
  </r>
  <r>
    <x v="12"/>
    <x v="95"/>
    <x v="92"/>
    <x v="1123"/>
  </r>
  <r>
    <x v="6"/>
    <x v="225"/>
    <x v="92"/>
    <x v="1124"/>
  </r>
  <r>
    <x v="6"/>
    <x v="80"/>
    <x v="92"/>
    <x v="1125"/>
  </r>
  <r>
    <x v="7"/>
    <x v="124"/>
    <x v="92"/>
    <x v="1126"/>
  </r>
  <r>
    <x v="7"/>
    <x v="124"/>
    <x v="92"/>
    <x v="1127"/>
  </r>
  <r>
    <x v="7"/>
    <x v="145"/>
    <x v="92"/>
    <x v="1128"/>
  </r>
  <r>
    <x v="7"/>
    <x v="11"/>
    <x v="92"/>
    <x v="1129"/>
  </r>
  <r>
    <x v="7"/>
    <x v="161"/>
    <x v="92"/>
    <x v="1130"/>
  </r>
  <r>
    <x v="7"/>
    <x v="126"/>
    <x v="92"/>
    <x v="1131"/>
  </r>
  <r>
    <x v="10"/>
    <x v="222"/>
    <x v="93"/>
    <x v="1132"/>
  </r>
  <r>
    <x v="16"/>
    <x v="13"/>
    <x v="93"/>
    <x v="1133"/>
  </r>
  <r>
    <x v="0"/>
    <x v="207"/>
    <x v="93"/>
    <x v="1134"/>
  </r>
  <r>
    <x v="1"/>
    <x v="52"/>
    <x v="93"/>
    <x v="1135"/>
  </r>
  <r>
    <x v="5"/>
    <x v="33"/>
    <x v="93"/>
    <x v="1136"/>
  </r>
  <r>
    <x v="6"/>
    <x v="225"/>
    <x v="93"/>
    <x v="1137"/>
  </r>
  <r>
    <x v="6"/>
    <x v="55"/>
    <x v="93"/>
    <x v="1138"/>
  </r>
  <r>
    <x v="7"/>
    <x v="143"/>
    <x v="93"/>
    <x v="1139"/>
  </r>
  <r>
    <x v="7"/>
    <x v="38"/>
    <x v="93"/>
    <x v="1140"/>
  </r>
  <r>
    <x v="7"/>
    <x v="177"/>
    <x v="93"/>
    <x v="1141"/>
  </r>
  <r>
    <x v="1"/>
    <x v="173"/>
    <x v="94"/>
    <x v="1142"/>
  </r>
  <r>
    <x v="3"/>
    <x v="109"/>
    <x v="94"/>
    <x v="1143"/>
  </r>
  <r>
    <x v="12"/>
    <x v="236"/>
    <x v="94"/>
    <x v="1144"/>
  </r>
  <r>
    <x v="12"/>
    <x v="113"/>
    <x v="94"/>
    <x v="170"/>
  </r>
  <r>
    <x v="6"/>
    <x v="121"/>
    <x v="94"/>
    <x v="1145"/>
  </r>
  <r>
    <x v="6"/>
    <x v="144"/>
    <x v="94"/>
    <x v="1146"/>
  </r>
  <r>
    <x v="6"/>
    <x v="167"/>
    <x v="94"/>
    <x v="1147"/>
  </r>
  <r>
    <x v="7"/>
    <x v="7"/>
    <x v="94"/>
    <x v="1148"/>
  </r>
  <r>
    <x v="7"/>
    <x v="37"/>
    <x v="94"/>
    <x v="1149"/>
  </r>
  <r>
    <x v="7"/>
    <x v="49"/>
    <x v="94"/>
    <x v="1150"/>
  </r>
  <r>
    <x v="7"/>
    <x v="115"/>
    <x v="94"/>
    <x v="1151"/>
  </r>
  <r>
    <x v="7"/>
    <x v="11"/>
    <x v="94"/>
    <x v="1152"/>
  </r>
  <r>
    <x v="7"/>
    <x v="25"/>
    <x v="94"/>
    <x v="1153"/>
  </r>
  <r>
    <x v="7"/>
    <x v="60"/>
    <x v="94"/>
    <x v="1154"/>
  </r>
  <r>
    <x v="0"/>
    <x v="40"/>
    <x v="95"/>
    <x v="1155"/>
  </r>
  <r>
    <x v="0"/>
    <x v="100"/>
    <x v="95"/>
    <x v="1156"/>
  </r>
  <r>
    <x v="0"/>
    <x v="116"/>
    <x v="95"/>
    <x v="1157"/>
  </r>
  <r>
    <x v="0"/>
    <x v="112"/>
    <x v="95"/>
    <x v="1158"/>
  </r>
  <r>
    <x v="18"/>
    <x v="194"/>
    <x v="95"/>
    <x v="1159"/>
  </r>
  <r>
    <x v="5"/>
    <x v="86"/>
    <x v="95"/>
    <x v="1160"/>
  </r>
  <r>
    <x v="5"/>
    <x v="87"/>
    <x v="95"/>
    <x v="1161"/>
  </r>
  <r>
    <x v="6"/>
    <x v="121"/>
    <x v="95"/>
    <x v="1162"/>
  </r>
  <r>
    <x v="6"/>
    <x v="23"/>
    <x v="95"/>
    <x v="1163"/>
  </r>
  <r>
    <x v="6"/>
    <x v="69"/>
    <x v="95"/>
    <x v="1164"/>
  </r>
  <r>
    <x v="7"/>
    <x v="37"/>
    <x v="95"/>
    <x v="1165"/>
  </r>
  <r>
    <x v="7"/>
    <x v="115"/>
    <x v="95"/>
    <x v="1166"/>
  </r>
  <r>
    <x v="7"/>
    <x v="125"/>
    <x v="95"/>
    <x v="1167"/>
  </r>
  <r>
    <x v="7"/>
    <x v="92"/>
    <x v="95"/>
    <x v="1168"/>
  </r>
  <r>
    <x v="7"/>
    <x v="161"/>
    <x v="95"/>
    <x v="1169"/>
  </r>
  <r>
    <x v="7"/>
    <x v="25"/>
    <x v="95"/>
    <x v="1170"/>
  </r>
  <r>
    <x v="7"/>
    <x v="25"/>
    <x v="95"/>
    <x v="1171"/>
  </r>
  <r>
    <x v="0"/>
    <x v="83"/>
    <x v="96"/>
    <x v="1172"/>
  </r>
  <r>
    <x v="0"/>
    <x v="72"/>
    <x v="96"/>
    <x v="1173"/>
  </r>
  <r>
    <x v="2"/>
    <x v="2"/>
    <x v="96"/>
    <x v="1174"/>
  </r>
  <r>
    <x v="3"/>
    <x v="210"/>
    <x v="96"/>
    <x v="1175"/>
  </r>
  <r>
    <x v="3"/>
    <x v="131"/>
    <x v="96"/>
    <x v="1176"/>
  </r>
  <r>
    <x v="4"/>
    <x v="214"/>
    <x v="96"/>
    <x v="1177"/>
  </r>
  <r>
    <x v="6"/>
    <x v="111"/>
    <x v="96"/>
    <x v="555"/>
  </r>
  <r>
    <x v="7"/>
    <x v="59"/>
    <x v="96"/>
    <x v="1178"/>
  </r>
  <r>
    <x v="7"/>
    <x v="45"/>
    <x v="96"/>
    <x v="1179"/>
  </r>
  <r>
    <x v="7"/>
    <x v="45"/>
    <x v="96"/>
    <x v="1180"/>
  </r>
  <r>
    <x v="7"/>
    <x v="12"/>
    <x v="96"/>
    <x v="1181"/>
  </r>
  <r>
    <x v="7"/>
    <x v="61"/>
    <x v="96"/>
    <x v="1182"/>
  </r>
  <r>
    <x v="0"/>
    <x v="230"/>
    <x v="97"/>
    <x v="1183"/>
  </r>
  <r>
    <x v="0"/>
    <x v="83"/>
    <x v="97"/>
    <x v="1184"/>
  </r>
  <r>
    <x v="8"/>
    <x v="65"/>
    <x v="97"/>
    <x v="1185"/>
  </r>
  <r>
    <x v="12"/>
    <x v="94"/>
    <x v="97"/>
    <x v="1186"/>
  </r>
  <r>
    <x v="6"/>
    <x v="183"/>
    <x v="97"/>
    <x v="1187"/>
  </r>
  <r>
    <x v="7"/>
    <x v="7"/>
    <x v="97"/>
    <x v="1188"/>
  </r>
  <r>
    <x v="7"/>
    <x v="47"/>
    <x v="97"/>
    <x v="1189"/>
  </r>
  <r>
    <x v="7"/>
    <x v="49"/>
    <x v="97"/>
    <x v="1190"/>
  </r>
  <r>
    <x v="7"/>
    <x v="22"/>
    <x v="97"/>
    <x v="1191"/>
  </r>
  <r>
    <x v="7"/>
    <x v="161"/>
    <x v="97"/>
    <x v="1192"/>
  </r>
  <r>
    <x v="1"/>
    <x v="14"/>
    <x v="98"/>
    <x v="1193"/>
  </r>
  <r>
    <x v="1"/>
    <x v="208"/>
    <x v="98"/>
    <x v="1194"/>
  </r>
  <r>
    <x v="12"/>
    <x v="146"/>
    <x v="98"/>
    <x v="1195"/>
  </r>
  <r>
    <x v="5"/>
    <x v="34"/>
    <x v="98"/>
    <x v="1196"/>
  </r>
  <r>
    <x v="5"/>
    <x v="176"/>
    <x v="98"/>
    <x v="1197"/>
  </r>
  <r>
    <x v="5"/>
    <x v="78"/>
    <x v="98"/>
    <x v="1198"/>
  </r>
  <r>
    <x v="5"/>
    <x v="224"/>
    <x v="98"/>
    <x v="1199"/>
  </r>
  <r>
    <x v="6"/>
    <x v="80"/>
    <x v="98"/>
    <x v="1200"/>
  </r>
  <r>
    <x v="7"/>
    <x v="8"/>
    <x v="98"/>
    <x v="1201"/>
  </r>
  <r>
    <x v="7"/>
    <x v="17"/>
    <x v="98"/>
    <x v="1202"/>
  </r>
  <r>
    <x v="7"/>
    <x v="20"/>
    <x v="98"/>
    <x v="1203"/>
  </r>
  <r>
    <x v="7"/>
    <x v="37"/>
    <x v="98"/>
    <x v="1204"/>
  </r>
  <r>
    <x v="7"/>
    <x v="23"/>
    <x v="98"/>
    <x v="1205"/>
  </r>
  <r>
    <x v="7"/>
    <x v="10"/>
    <x v="98"/>
    <x v="1206"/>
  </r>
  <r>
    <x v="7"/>
    <x v="81"/>
    <x v="98"/>
    <x v="1207"/>
  </r>
  <r>
    <x v="7"/>
    <x v="60"/>
    <x v="98"/>
    <x v="1208"/>
  </r>
  <r>
    <x v="0"/>
    <x v="206"/>
    <x v="99"/>
    <x v="1209"/>
  </r>
  <r>
    <x v="1"/>
    <x v="62"/>
    <x v="99"/>
    <x v="1210"/>
  </r>
  <r>
    <x v="8"/>
    <x v="227"/>
    <x v="99"/>
    <x v="1211"/>
  </r>
  <r>
    <x v="9"/>
    <x v="215"/>
    <x v="99"/>
    <x v="1212"/>
  </r>
  <r>
    <x v="12"/>
    <x v="129"/>
    <x v="99"/>
    <x v="1213"/>
  </r>
  <r>
    <x v="12"/>
    <x v="77"/>
    <x v="99"/>
    <x v="1214"/>
  </r>
  <r>
    <x v="5"/>
    <x v="221"/>
    <x v="99"/>
    <x v="1215"/>
  </r>
  <r>
    <x v="6"/>
    <x v="142"/>
    <x v="99"/>
    <x v="1216"/>
  </r>
  <r>
    <x v="6"/>
    <x v="168"/>
    <x v="99"/>
    <x v="1217"/>
  </r>
  <r>
    <x v="7"/>
    <x v="8"/>
    <x v="99"/>
    <x v="1218"/>
  </r>
  <r>
    <x v="7"/>
    <x v="97"/>
    <x v="99"/>
    <x v="1219"/>
  </r>
  <r>
    <x v="7"/>
    <x v="20"/>
    <x v="99"/>
    <x v="1220"/>
  </r>
  <r>
    <x v="7"/>
    <x v="37"/>
    <x v="99"/>
    <x v="1221"/>
  </r>
  <r>
    <x v="7"/>
    <x v="47"/>
    <x v="99"/>
    <x v="1222"/>
  </r>
  <r>
    <x v="7"/>
    <x v="70"/>
    <x v="99"/>
    <x v="1223"/>
  </r>
  <r>
    <x v="0"/>
    <x v="172"/>
    <x v="100"/>
    <x v="1224"/>
  </r>
  <r>
    <x v="0"/>
    <x v="24"/>
    <x v="100"/>
    <x v="1225"/>
  </r>
  <r>
    <x v="8"/>
    <x v="220"/>
    <x v="100"/>
    <x v="1226"/>
  </r>
  <r>
    <x v="9"/>
    <x v="16"/>
    <x v="100"/>
    <x v="1227"/>
  </r>
  <r>
    <x v="16"/>
    <x v="138"/>
    <x v="101"/>
    <x v="1228"/>
  </r>
  <r>
    <x v="16"/>
    <x v="178"/>
    <x v="101"/>
    <x v="1229"/>
  </r>
  <r>
    <x v="0"/>
    <x v="63"/>
    <x v="101"/>
    <x v="1230"/>
  </r>
  <r>
    <x v="0"/>
    <x v="199"/>
    <x v="101"/>
    <x v="1231"/>
  </r>
  <r>
    <x v="2"/>
    <x v="104"/>
    <x v="101"/>
    <x v="1232"/>
  </r>
  <r>
    <x v="14"/>
    <x v="53"/>
    <x v="101"/>
    <x v="1233"/>
  </r>
  <r>
    <x v="4"/>
    <x v="234"/>
    <x v="101"/>
    <x v="1234"/>
  </r>
  <r>
    <x v="9"/>
    <x v="30"/>
    <x v="101"/>
    <x v="1235"/>
  </r>
  <r>
    <x v="6"/>
    <x v="35"/>
    <x v="101"/>
    <x v="1236"/>
  </r>
  <r>
    <x v="7"/>
    <x v="55"/>
    <x v="101"/>
    <x v="1237"/>
  </r>
  <r>
    <x v="7"/>
    <x v="112"/>
    <x v="101"/>
    <x v="1238"/>
  </r>
  <r>
    <x v="7"/>
    <x v="112"/>
    <x v="101"/>
    <x v="1239"/>
  </r>
  <r>
    <x v="7"/>
    <x v="24"/>
    <x v="101"/>
    <x v="873"/>
  </r>
  <r>
    <x v="7"/>
    <x v="39"/>
    <x v="101"/>
    <x v="1240"/>
  </r>
  <r>
    <x v="0"/>
    <x v="17"/>
    <x v="102"/>
    <x v="1241"/>
  </r>
  <r>
    <x v="0"/>
    <x v="190"/>
    <x v="102"/>
    <x v="1242"/>
  </r>
  <r>
    <x v="8"/>
    <x v="197"/>
    <x v="102"/>
    <x v="1243"/>
  </r>
  <r>
    <x v="17"/>
    <x v="75"/>
    <x v="102"/>
    <x v="1244"/>
  </r>
  <r>
    <x v="12"/>
    <x v="180"/>
    <x v="102"/>
    <x v="1245"/>
  </r>
  <r>
    <x v="5"/>
    <x v="201"/>
    <x v="102"/>
    <x v="1246"/>
  </r>
  <r>
    <x v="5"/>
    <x v="90"/>
    <x v="102"/>
    <x v="1247"/>
  </r>
  <r>
    <x v="6"/>
    <x v="79"/>
    <x v="102"/>
    <x v="1248"/>
  </r>
  <r>
    <x v="6"/>
    <x v="182"/>
    <x v="102"/>
    <x v="1249"/>
  </r>
  <r>
    <x v="6"/>
    <x v="118"/>
    <x v="102"/>
    <x v="1250"/>
  </r>
  <r>
    <x v="7"/>
    <x v="58"/>
    <x v="102"/>
    <x v="1251"/>
  </r>
  <r>
    <x v="7"/>
    <x v="46"/>
    <x v="102"/>
    <x v="1252"/>
  </r>
  <r>
    <x v="7"/>
    <x v="48"/>
    <x v="102"/>
    <x v="1253"/>
  </r>
  <r>
    <x v="7"/>
    <x v="49"/>
    <x v="102"/>
    <x v="1254"/>
  </r>
  <r>
    <x v="16"/>
    <x v="169"/>
    <x v="103"/>
    <x v="1255"/>
  </r>
  <r>
    <x v="16"/>
    <x v="171"/>
    <x v="103"/>
    <x v="1256"/>
  </r>
  <r>
    <x v="8"/>
    <x v="164"/>
    <x v="103"/>
    <x v="1257"/>
  </r>
  <r>
    <x v="8"/>
    <x v="66"/>
    <x v="103"/>
    <x v="1258"/>
  </r>
  <r>
    <x v="17"/>
    <x v="76"/>
    <x v="103"/>
    <x v="1259"/>
  </r>
  <r>
    <x v="5"/>
    <x v="184"/>
    <x v="103"/>
    <x v="1260"/>
  </r>
  <r>
    <x v="5"/>
    <x v="96"/>
    <x v="103"/>
    <x v="1261"/>
  </r>
  <r>
    <x v="6"/>
    <x v="56"/>
    <x v="103"/>
    <x v="1262"/>
  </r>
  <r>
    <x v="6"/>
    <x v="168"/>
    <x v="103"/>
    <x v="1263"/>
  </r>
  <r>
    <x v="6"/>
    <x v="36"/>
    <x v="103"/>
    <x v="1264"/>
  </r>
  <r>
    <x v="6"/>
    <x v="218"/>
    <x v="103"/>
    <x v="1265"/>
  </r>
  <r>
    <x v="6"/>
    <x v="44"/>
    <x v="103"/>
    <x v="1266"/>
  </r>
  <r>
    <x v="7"/>
    <x v="21"/>
    <x v="103"/>
    <x v="1267"/>
  </r>
  <r>
    <x v="7"/>
    <x v="70"/>
    <x v="103"/>
    <x v="1268"/>
  </r>
  <r>
    <x v="7"/>
    <x v="161"/>
    <x v="103"/>
    <x v="1269"/>
  </r>
  <r>
    <x v="7"/>
    <x v="91"/>
    <x v="103"/>
    <x v="1270"/>
  </r>
  <r>
    <x v="7"/>
    <x v="61"/>
    <x v="103"/>
    <x v="1271"/>
  </r>
  <r>
    <x v="16"/>
    <x v="188"/>
    <x v="104"/>
    <x v="1272"/>
  </r>
  <r>
    <x v="18"/>
    <x v="107"/>
    <x v="104"/>
    <x v="1273"/>
  </r>
  <r>
    <x v="1"/>
    <x v="103"/>
    <x v="104"/>
    <x v="1274"/>
  </r>
  <r>
    <x v="14"/>
    <x v="232"/>
    <x v="104"/>
    <x v="1275"/>
  </r>
  <r>
    <x v="14"/>
    <x v="228"/>
    <x v="104"/>
    <x v="1276"/>
  </r>
  <r>
    <x v="8"/>
    <x v="134"/>
    <x v="104"/>
    <x v="1277"/>
  </r>
  <r>
    <x v="5"/>
    <x v="88"/>
    <x v="104"/>
    <x v="1278"/>
  </r>
  <r>
    <x v="6"/>
    <x v="160"/>
    <x v="104"/>
    <x v="1279"/>
  </r>
  <r>
    <x v="6"/>
    <x v="114"/>
    <x v="104"/>
    <x v="1280"/>
  </r>
  <r>
    <x v="6"/>
    <x v="218"/>
    <x v="104"/>
    <x v="1281"/>
  </r>
  <r>
    <x v="7"/>
    <x v="19"/>
    <x v="104"/>
    <x v="622"/>
  </r>
  <r>
    <x v="7"/>
    <x v="47"/>
    <x v="104"/>
    <x v="1282"/>
  </r>
  <r>
    <x v="7"/>
    <x v="124"/>
    <x v="104"/>
    <x v="1283"/>
  </r>
  <r>
    <x v="7"/>
    <x v="22"/>
    <x v="104"/>
    <x v="1284"/>
  </r>
  <r>
    <x v="7"/>
    <x v="39"/>
    <x v="104"/>
    <x v="1285"/>
  </r>
  <r>
    <x v="7"/>
    <x v="91"/>
    <x v="104"/>
    <x v="1286"/>
  </r>
  <r>
    <x v="16"/>
    <x v="170"/>
    <x v="105"/>
    <x v="1287"/>
  </r>
  <r>
    <x v="0"/>
    <x v="205"/>
    <x v="105"/>
    <x v="1288"/>
  </r>
  <r>
    <x v="0"/>
    <x v="93"/>
    <x v="105"/>
    <x v="1289"/>
  </r>
  <r>
    <x v="1"/>
    <x v="1"/>
    <x v="105"/>
    <x v="1290"/>
  </r>
  <r>
    <x v="1"/>
    <x v="216"/>
    <x v="105"/>
    <x v="1291"/>
  </r>
  <r>
    <x v="14"/>
    <x v="105"/>
    <x v="105"/>
    <x v="1292"/>
  </r>
  <r>
    <x v="6"/>
    <x v="159"/>
    <x v="105"/>
    <x v="1293"/>
  </r>
  <r>
    <x v="6"/>
    <x v="55"/>
    <x v="105"/>
    <x v="1294"/>
  </r>
  <r>
    <x v="6"/>
    <x v="122"/>
    <x v="105"/>
    <x v="1295"/>
  </r>
  <r>
    <x v="6"/>
    <x v="183"/>
    <x v="105"/>
    <x v="1296"/>
  </r>
  <r>
    <x v="6"/>
    <x v="44"/>
    <x v="105"/>
    <x v="1297"/>
  </r>
  <r>
    <x v="7"/>
    <x v="19"/>
    <x v="105"/>
    <x v="1298"/>
  </r>
  <r>
    <x v="7"/>
    <x v="9"/>
    <x v="105"/>
    <x v="1299"/>
  </r>
  <r>
    <x v="7"/>
    <x v="38"/>
    <x v="105"/>
    <x v="1300"/>
  </r>
  <r>
    <x v="7"/>
    <x v="115"/>
    <x v="105"/>
    <x v="1301"/>
  </r>
  <r>
    <x v="7"/>
    <x v="126"/>
    <x v="105"/>
    <x v="1302"/>
  </r>
  <r>
    <x v="7"/>
    <x v="167"/>
    <x v="105"/>
    <x v="1303"/>
  </r>
  <r>
    <x v="11"/>
    <x v="27"/>
    <x v="106"/>
    <x v="1304"/>
  </r>
  <r>
    <x v="0"/>
    <x v="83"/>
    <x v="106"/>
    <x v="1305"/>
  </r>
  <r>
    <x v="13"/>
    <x v="41"/>
    <x v="106"/>
    <x v="1306"/>
  </r>
  <r>
    <x v="14"/>
    <x v="200"/>
    <x v="106"/>
    <x v="1307"/>
  </r>
  <r>
    <x v="8"/>
    <x v="85"/>
    <x v="106"/>
    <x v="1308"/>
  </r>
  <r>
    <x v="9"/>
    <x v="67"/>
    <x v="106"/>
    <x v="1309"/>
  </r>
  <r>
    <x v="12"/>
    <x v="32"/>
    <x v="106"/>
    <x v="1310"/>
  </r>
  <r>
    <x v="6"/>
    <x v="192"/>
    <x v="106"/>
    <x v="1311"/>
  </r>
  <r>
    <x v="7"/>
    <x v="17"/>
    <x v="106"/>
    <x v="1312"/>
  </r>
  <r>
    <x v="7"/>
    <x v="71"/>
    <x v="106"/>
    <x v="1313"/>
  </r>
  <r>
    <x v="7"/>
    <x v="50"/>
    <x v="106"/>
    <x v="1314"/>
  </r>
  <r>
    <x v="2"/>
    <x v="175"/>
    <x v="107"/>
    <x v="1315"/>
  </r>
  <r>
    <x v="14"/>
    <x v="29"/>
    <x v="107"/>
    <x v="1316"/>
  </r>
  <r>
    <x v="14"/>
    <x v="108"/>
    <x v="107"/>
    <x v="1317"/>
  </r>
  <r>
    <x v="9"/>
    <x v="135"/>
    <x v="107"/>
    <x v="1318"/>
  </r>
  <r>
    <x v="5"/>
    <x v="5"/>
    <x v="107"/>
    <x v="1319"/>
  </r>
  <r>
    <x v="5"/>
    <x v="137"/>
    <x v="107"/>
    <x v="1320"/>
  </r>
  <r>
    <x v="6"/>
    <x v="42"/>
    <x v="107"/>
    <x v="1321"/>
  </r>
  <r>
    <x v="6"/>
    <x v="123"/>
    <x v="107"/>
    <x v="1322"/>
  </r>
  <r>
    <x v="7"/>
    <x v="11"/>
    <x v="107"/>
    <x v="1323"/>
  </r>
  <r>
    <x v="7"/>
    <x v="161"/>
    <x v="107"/>
    <x v="1324"/>
  </r>
  <r>
    <x v="16"/>
    <x v="154"/>
    <x v="108"/>
    <x v="1255"/>
  </r>
  <r>
    <x v="0"/>
    <x v="230"/>
    <x v="108"/>
    <x v="1325"/>
  </r>
  <r>
    <x v="0"/>
    <x v="162"/>
    <x v="108"/>
    <x v="1326"/>
  </r>
  <r>
    <x v="15"/>
    <x v="74"/>
    <x v="108"/>
    <x v="1327"/>
  </r>
  <r>
    <x v="9"/>
    <x v="157"/>
    <x v="108"/>
    <x v="1328"/>
  </r>
  <r>
    <x v="5"/>
    <x v="89"/>
    <x v="108"/>
    <x v="1329"/>
  </r>
  <r>
    <x v="5"/>
    <x v="120"/>
    <x v="108"/>
    <x v="1330"/>
  </r>
  <r>
    <x v="5"/>
    <x v="136"/>
    <x v="108"/>
    <x v="1331"/>
  </r>
  <r>
    <x v="6"/>
    <x v="89"/>
    <x v="108"/>
    <x v="1332"/>
  </r>
  <r>
    <x v="6"/>
    <x v="68"/>
    <x v="108"/>
    <x v="1333"/>
  </r>
  <r>
    <x v="6"/>
    <x v="35"/>
    <x v="108"/>
    <x v="1334"/>
  </r>
  <r>
    <x v="7"/>
    <x v="6"/>
    <x v="108"/>
    <x v="1335"/>
  </r>
  <r>
    <x v="7"/>
    <x v="177"/>
    <x v="108"/>
    <x v="1336"/>
  </r>
  <r>
    <x v="0"/>
    <x v="212"/>
    <x v="109"/>
    <x v="1337"/>
  </r>
  <r>
    <x v="0"/>
    <x v="51"/>
    <x v="109"/>
    <x v="1338"/>
  </r>
  <r>
    <x v="8"/>
    <x v="133"/>
    <x v="109"/>
    <x v="1339"/>
  </r>
  <r>
    <x v="9"/>
    <x v="187"/>
    <x v="109"/>
    <x v="1340"/>
  </r>
  <r>
    <x v="6"/>
    <x v="225"/>
    <x v="109"/>
    <x v="1341"/>
  </r>
  <r>
    <x v="6"/>
    <x v="111"/>
    <x v="109"/>
    <x v="1342"/>
  </r>
  <r>
    <x v="7"/>
    <x v="192"/>
    <x v="109"/>
    <x v="601"/>
  </r>
  <r>
    <x v="7"/>
    <x v="10"/>
    <x v="109"/>
    <x v="1343"/>
  </r>
  <r>
    <x v="7"/>
    <x v="125"/>
    <x v="109"/>
    <x v="506"/>
  </r>
  <r>
    <x v="7"/>
    <x v="126"/>
    <x v="109"/>
    <x v="1344"/>
  </r>
  <r>
    <x v="7"/>
    <x v="61"/>
    <x v="109"/>
    <x v="1345"/>
  </r>
  <r>
    <x v="14"/>
    <x v="219"/>
    <x v="110"/>
    <x v="170"/>
  </r>
  <r>
    <x v="3"/>
    <x v="158"/>
    <x v="110"/>
    <x v="1346"/>
  </r>
  <r>
    <x v="15"/>
    <x v="54"/>
    <x v="110"/>
    <x v="1347"/>
  </r>
  <r>
    <x v="9"/>
    <x v="16"/>
    <x v="110"/>
    <x v="1348"/>
  </r>
  <r>
    <x v="17"/>
    <x v="149"/>
    <x v="110"/>
    <x v="1349"/>
  </r>
  <r>
    <x v="6"/>
    <x v="150"/>
    <x v="110"/>
    <x v="1350"/>
  </r>
  <r>
    <x v="6"/>
    <x v="68"/>
    <x v="110"/>
    <x v="1351"/>
  </r>
  <r>
    <x v="6"/>
    <x v="98"/>
    <x v="110"/>
    <x v="1352"/>
  </r>
  <r>
    <x v="6"/>
    <x v="114"/>
    <x v="110"/>
    <x v="1353"/>
  </r>
  <r>
    <x v="6"/>
    <x v="114"/>
    <x v="110"/>
    <x v="1354"/>
  </r>
  <r>
    <x v="6"/>
    <x v="82"/>
    <x v="110"/>
    <x v="1355"/>
  </r>
  <r>
    <x v="6"/>
    <x v="152"/>
    <x v="110"/>
    <x v="1356"/>
  </r>
  <r>
    <x v="7"/>
    <x v="47"/>
    <x v="110"/>
    <x v="1357"/>
  </r>
  <r>
    <x v="7"/>
    <x v="49"/>
    <x v="110"/>
    <x v="1358"/>
  </r>
  <r>
    <x v="7"/>
    <x v="145"/>
    <x v="110"/>
    <x v="1359"/>
  </r>
  <r>
    <x v="7"/>
    <x v="10"/>
    <x v="110"/>
    <x v="1360"/>
  </r>
  <r>
    <x v="7"/>
    <x v="81"/>
    <x v="110"/>
    <x v="1361"/>
  </r>
  <r>
    <x v="0"/>
    <x v="193"/>
    <x v="111"/>
    <x v="1362"/>
  </r>
  <r>
    <x v="0"/>
    <x v="50"/>
    <x v="111"/>
    <x v="1363"/>
  </r>
  <r>
    <x v="4"/>
    <x v="4"/>
    <x v="111"/>
    <x v="1364"/>
  </r>
  <r>
    <x v="9"/>
    <x v="117"/>
    <x v="111"/>
    <x v="1365"/>
  </r>
  <r>
    <x v="6"/>
    <x v="42"/>
    <x v="111"/>
    <x v="1366"/>
  </r>
  <r>
    <x v="6"/>
    <x v="203"/>
    <x v="111"/>
    <x v="1367"/>
  </r>
  <r>
    <x v="6"/>
    <x v="43"/>
    <x v="111"/>
    <x v="1368"/>
  </r>
  <r>
    <x v="6"/>
    <x v="36"/>
    <x v="111"/>
    <x v="1369"/>
  </r>
  <r>
    <x v="7"/>
    <x v="20"/>
    <x v="111"/>
    <x v="1370"/>
  </r>
  <r>
    <x v="7"/>
    <x v="11"/>
    <x v="111"/>
    <x v="1371"/>
  </r>
  <r>
    <x v="7"/>
    <x v="39"/>
    <x v="111"/>
    <x v="1372"/>
  </r>
  <r>
    <x v="0"/>
    <x v="204"/>
    <x v="112"/>
    <x v="1373"/>
  </r>
  <r>
    <x v="0"/>
    <x v="230"/>
    <x v="112"/>
    <x v="1374"/>
  </r>
  <r>
    <x v="0"/>
    <x v="10"/>
    <x v="112"/>
    <x v="1375"/>
  </r>
  <r>
    <x v="18"/>
    <x v="102"/>
    <x v="112"/>
    <x v="1376"/>
  </r>
  <r>
    <x v="18"/>
    <x v="189"/>
    <x v="112"/>
    <x v="1377"/>
  </r>
  <r>
    <x v="14"/>
    <x v="209"/>
    <x v="112"/>
    <x v="1378"/>
  </r>
  <r>
    <x v="3"/>
    <x v="3"/>
    <x v="112"/>
    <x v="1379"/>
  </r>
  <r>
    <x v="9"/>
    <x v="211"/>
    <x v="112"/>
    <x v="1380"/>
  </r>
  <r>
    <x v="5"/>
    <x v="166"/>
    <x v="112"/>
    <x v="1381"/>
  </r>
  <r>
    <x v="6"/>
    <x v="56"/>
    <x v="112"/>
    <x v="1382"/>
  </r>
  <r>
    <x v="6"/>
    <x v="152"/>
    <x v="112"/>
    <x v="1383"/>
  </r>
  <r>
    <x v="6"/>
    <x v="44"/>
    <x v="112"/>
    <x v="1384"/>
  </r>
  <r>
    <x v="7"/>
    <x v="8"/>
    <x v="112"/>
    <x v="1385"/>
  </r>
  <r>
    <x v="7"/>
    <x v="213"/>
    <x v="112"/>
    <x v="1386"/>
  </r>
  <r>
    <x v="7"/>
    <x v="12"/>
    <x v="112"/>
    <x v="1387"/>
  </r>
  <r>
    <x v="1"/>
    <x v="229"/>
    <x v="113"/>
    <x v="1388"/>
  </r>
  <r>
    <x v="8"/>
    <x v="73"/>
    <x v="113"/>
    <x v="1389"/>
  </r>
  <r>
    <x v="9"/>
    <x v="186"/>
    <x v="113"/>
    <x v="1390"/>
  </r>
  <r>
    <x v="9"/>
    <x v="148"/>
    <x v="113"/>
    <x v="1391"/>
  </r>
  <r>
    <x v="5"/>
    <x v="191"/>
    <x v="113"/>
    <x v="1392"/>
  </r>
  <r>
    <x v="6"/>
    <x v="160"/>
    <x v="113"/>
    <x v="1393"/>
  </r>
  <r>
    <x v="6"/>
    <x v="69"/>
    <x v="113"/>
    <x v="1394"/>
  </r>
  <r>
    <x v="7"/>
    <x v="9"/>
    <x v="113"/>
    <x v="1395"/>
  </r>
  <r>
    <x v="0"/>
    <x v="203"/>
    <x v="114"/>
    <x v="1396"/>
  </r>
  <r>
    <x v="0"/>
    <x v="116"/>
    <x v="114"/>
    <x v="1397"/>
  </r>
  <r>
    <x v="0"/>
    <x v="84"/>
    <x v="114"/>
    <x v="1398"/>
  </r>
  <r>
    <x v="1"/>
    <x v="231"/>
    <x v="114"/>
    <x v="1399"/>
  </r>
  <r>
    <x v="2"/>
    <x v="64"/>
    <x v="114"/>
    <x v="449"/>
  </r>
  <r>
    <x v="9"/>
    <x v="174"/>
    <x v="114"/>
    <x v="1400"/>
  </r>
  <r>
    <x v="6"/>
    <x v="142"/>
    <x v="114"/>
    <x v="1401"/>
  </r>
  <r>
    <x v="6"/>
    <x v="192"/>
    <x v="114"/>
    <x v="1402"/>
  </r>
  <r>
    <x v="7"/>
    <x v="19"/>
    <x v="114"/>
    <x v="1403"/>
  </r>
  <r>
    <x v="7"/>
    <x v="92"/>
    <x v="114"/>
    <x v="1404"/>
  </r>
  <r>
    <x v="7"/>
    <x v="71"/>
    <x v="114"/>
    <x v="590"/>
  </r>
  <r>
    <x v="7"/>
    <x v="112"/>
    <x v="114"/>
    <x v="379"/>
  </r>
  <r>
    <x v="10"/>
    <x v="26"/>
    <x v="115"/>
    <x v="1405"/>
  </r>
  <r>
    <x v="0"/>
    <x v="99"/>
    <x v="115"/>
    <x v="1406"/>
  </r>
  <r>
    <x v="14"/>
    <x v="130"/>
    <x v="115"/>
    <x v="1407"/>
  </r>
  <r>
    <x v="14"/>
    <x v="119"/>
    <x v="115"/>
    <x v="1408"/>
  </r>
  <r>
    <x v="6"/>
    <x v="57"/>
    <x v="115"/>
    <x v="524"/>
  </r>
  <r>
    <x v="7"/>
    <x v="153"/>
    <x v="115"/>
    <x v="1409"/>
  </r>
  <r>
    <x v="7"/>
    <x v="9"/>
    <x v="115"/>
    <x v="1410"/>
  </r>
  <r>
    <x v="7"/>
    <x v="47"/>
    <x v="115"/>
    <x v="1411"/>
  </r>
  <r>
    <x v="0"/>
    <x v="0"/>
    <x v="116"/>
    <x v="1412"/>
  </r>
  <r>
    <x v="0"/>
    <x v="212"/>
    <x v="116"/>
    <x v="1413"/>
  </r>
  <r>
    <x v="2"/>
    <x v="226"/>
    <x v="116"/>
    <x v="1414"/>
  </r>
  <r>
    <x v="9"/>
    <x v="185"/>
    <x v="116"/>
    <x v="1415"/>
  </r>
  <r>
    <x v="5"/>
    <x v="141"/>
    <x v="116"/>
    <x v="1416"/>
  </r>
  <r>
    <x v="6"/>
    <x v="122"/>
    <x v="116"/>
    <x v="1417"/>
  </r>
  <r>
    <x v="6"/>
    <x v="69"/>
    <x v="116"/>
    <x v="1418"/>
  </r>
  <r>
    <x v="7"/>
    <x v="11"/>
    <x v="116"/>
    <x v="1419"/>
  </r>
  <r>
    <x v="7"/>
    <x v="50"/>
    <x v="116"/>
    <x v="1420"/>
  </r>
  <r>
    <x v="7"/>
    <x v="50"/>
    <x v="116"/>
    <x v="1421"/>
  </r>
  <r>
    <x v="0"/>
    <x v="20"/>
    <x v="117"/>
    <x v="1422"/>
  </r>
  <r>
    <x v="18"/>
    <x v="195"/>
    <x v="117"/>
    <x v="1423"/>
  </r>
  <r>
    <x v="1"/>
    <x v="163"/>
    <x v="117"/>
    <x v="748"/>
  </r>
  <r>
    <x v="3"/>
    <x v="132"/>
    <x v="117"/>
    <x v="1424"/>
  </r>
  <r>
    <x v="8"/>
    <x v="128"/>
    <x v="117"/>
    <x v="1425"/>
  </r>
  <r>
    <x v="8"/>
    <x v="198"/>
    <x v="117"/>
    <x v="1426"/>
  </r>
  <r>
    <x v="9"/>
    <x v="140"/>
    <x v="117"/>
    <x v="1427"/>
  </r>
  <r>
    <x v="5"/>
    <x v="202"/>
    <x v="117"/>
    <x v="1428"/>
  </r>
  <r>
    <x v="5"/>
    <x v="106"/>
    <x v="117"/>
    <x v="1429"/>
  </r>
  <r>
    <x v="6"/>
    <x v="97"/>
    <x v="117"/>
    <x v="1430"/>
  </r>
  <r>
    <x v="7"/>
    <x v="7"/>
    <x v="117"/>
    <x v="1431"/>
  </r>
  <r>
    <x v="7"/>
    <x v="38"/>
    <x v="117"/>
    <x v="1432"/>
  </r>
  <r>
    <x v="7"/>
    <x v="145"/>
    <x v="117"/>
    <x v="772"/>
  </r>
  <r>
    <x v="7"/>
    <x v="125"/>
    <x v="117"/>
    <x v="1433"/>
  </r>
  <r>
    <x v="7"/>
    <x v="112"/>
    <x v="117"/>
    <x v="1434"/>
  </r>
  <r>
    <x v="0"/>
    <x v="101"/>
    <x v="118"/>
    <x v="1435"/>
  </r>
  <r>
    <x v="0"/>
    <x v="28"/>
    <x v="118"/>
    <x v="1436"/>
  </r>
  <r>
    <x v="0"/>
    <x v="127"/>
    <x v="118"/>
    <x v="1437"/>
  </r>
  <r>
    <x v="4"/>
    <x v="139"/>
    <x v="118"/>
    <x v="1438"/>
  </r>
  <r>
    <x v="7"/>
    <x v="8"/>
    <x v="118"/>
    <x v="1439"/>
  </r>
  <r>
    <x v="7"/>
    <x v="143"/>
    <x v="118"/>
    <x v="1440"/>
  </r>
  <r>
    <x v="7"/>
    <x v="145"/>
    <x v="118"/>
    <x v="1441"/>
  </r>
  <r>
    <x v="7"/>
    <x v="161"/>
    <x v="118"/>
    <x v="1442"/>
  </r>
  <r>
    <x v="7"/>
    <x v="39"/>
    <x v="118"/>
    <x v="1443"/>
  </r>
  <r>
    <x v="7"/>
    <x v="60"/>
    <x v="118"/>
    <x v="1444"/>
  </r>
  <r>
    <x v="7"/>
    <x v="45"/>
    <x v="119"/>
    <x v="1445"/>
  </r>
  <r>
    <x v="7"/>
    <x v="70"/>
    <x v="119"/>
    <x v="1446"/>
  </r>
  <r>
    <x v="7"/>
    <x v="70"/>
    <x v="119"/>
    <x v="1447"/>
  </r>
  <r>
    <x v="7"/>
    <x v="161"/>
    <x v="119"/>
    <x v="1448"/>
  </r>
  <r>
    <x v="0"/>
    <x v="193"/>
    <x v="120"/>
    <x v="1449"/>
  </r>
  <r>
    <x v="18"/>
    <x v="102"/>
    <x v="120"/>
    <x v="1450"/>
  </r>
  <r>
    <x v="5"/>
    <x v="141"/>
    <x v="120"/>
    <x v="1451"/>
  </r>
  <r>
    <x v="7"/>
    <x v="143"/>
    <x v="120"/>
    <x v="1452"/>
  </r>
  <r>
    <x v="7"/>
    <x v="112"/>
    <x v="120"/>
    <x v="1453"/>
  </r>
  <r>
    <x v="7"/>
    <x v="61"/>
    <x v="120"/>
    <x v="1454"/>
  </r>
  <r>
    <x v="15"/>
    <x v="54"/>
    <x v="121"/>
    <x v="1455"/>
  </r>
  <r>
    <x v="9"/>
    <x v="16"/>
    <x v="121"/>
    <x v="1456"/>
  </r>
  <r>
    <x v="5"/>
    <x v="159"/>
    <x v="121"/>
    <x v="1457"/>
  </r>
  <r>
    <x v="5"/>
    <x v="34"/>
    <x v="121"/>
    <x v="1458"/>
  </r>
  <r>
    <x v="5"/>
    <x v="106"/>
    <x v="121"/>
    <x v="1459"/>
  </r>
  <r>
    <x v="5"/>
    <x v="166"/>
    <x v="121"/>
    <x v="1460"/>
  </r>
  <r>
    <x v="6"/>
    <x v="89"/>
    <x v="121"/>
    <x v="1461"/>
  </r>
  <r>
    <x v="6"/>
    <x v="56"/>
    <x v="121"/>
    <x v="1462"/>
  </r>
  <r>
    <x v="6"/>
    <x v="98"/>
    <x v="121"/>
    <x v="1463"/>
  </r>
  <r>
    <x v="6"/>
    <x v="98"/>
    <x v="121"/>
    <x v="1464"/>
  </r>
  <r>
    <x v="6"/>
    <x v="69"/>
    <x v="121"/>
    <x v="1465"/>
  </r>
  <r>
    <x v="7"/>
    <x v="7"/>
    <x v="121"/>
    <x v="1466"/>
  </r>
  <r>
    <x v="7"/>
    <x v="59"/>
    <x v="121"/>
    <x v="1467"/>
  </r>
  <r>
    <x v="7"/>
    <x v="9"/>
    <x v="121"/>
    <x v="1468"/>
  </r>
  <r>
    <x v="7"/>
    <x v="22"/>
    <x v="121"/>
    <x v="1469"/>
  </r>
  <r>
    <x v="7"/>
    <x v="161"/>
    <x v="121"/>
    <x v="1470"/>
  </r>
  <r>
    <x v="7"/>
    <x v="39"/>
    <x v="121"/>
    <x v="1471"/>
  </r>
  <r>
    <x v="11"/>
    <x v="27"/>
    <x v="122"/>
    <x v="170"/>
  </r>
  <r>
    <x v="1"/>
    <x v="52"/>
    <x v="122"/>
    <x v="1472"/>
  </r>
  <r>
    <x v="1"/>
    <x v="173"/>
    <x v="122"/>
    <x v="1473"/>
  </r>
  <r>
    <x v="3"/>
    <x v="132"/>
    <x v="122"/>
    <x v="1474"/>
  </r>
  <r>
    <x v="8"/>
    <x v="164"/>
    <x v="122"/>
    <x v="1475"/>
  </r>
  <r>
    <x v="5"/>
    <x v="5"/>
    <x v="122"/>
    <x v="1476"/>
  </r>
  <r>
    <x v="19"/>
    <x v="110"/>
    <x v="122"/>
    <x v="1477"/>
  </r>
  <r>
    <x v="6"/>
    <x v="121"/>
    <x v="122"/>
    <x v="1478"/>
  </r>
  <r>
    <x v="6"/>
    <x v="168"/>
    <x v="122"/>
    <x v="1479"/>
  </r>
  <r>
    <x v="7"/>
    <x v="19"/>
    <x v="122"/>
    <x v="1480"/>
  </r>
  <r>
    <x v="7"/>
    <x v="115"/>
    <x v="122"/>
    <x v="1481"/>
  </r>
  <r>
    <x v="7"/>
    <x v="112"/>
    <x v="122"/>
    <x v="1482"/>
  </r>
  <r>
    <x v="7"/>
    <x v="177"/>
    <x v="122"/>
    <x v="1483"/>
  </r>
  <r>
    <x v="7"/>
    <x v="60"/>
    <x v="122"/>
    <x v="1484"/>
  </r>
  <r>
    <x v="0"/>
    <x v="162"/>
    <x v="123"/>
    <x v="1485"/>
  </r>
  <r>
    <x v="0"/>
    <x v="117"/>
    <x v="123"/>
    <x v="1486"/>
  </r>
  <r>
    <x v="0"/>
    <x v="50"/>
    <x v="123"/>
    <x v="1487"/>
  </r>
  <r>
    <x v="18"/>
    <x v="107"/>
    <x v="123"/>
    <x v="1488"/>
  </r>
  <r>
    <x v="2"/>
    <x v="95"/>
    <x v="123"/>
    <x v="1489"/>
  </r>
  <r>
    <x v="13"/>
    <x v="41"/>
    <x v="123"/>
    <x v="170"/>
  </r>
  <r>
    <x v="6"/>
    <x v="55"/>
    <x v="123"/>
    <x v="1490"/>
  </r>
  <r>
    <x v="7"/>
    <x v="38"/>
    <x v="123"/>
    <x v="1090"/>
  </r>
  <r>
    <x v="7"/>
    <x v="177"/>
    <x v="123"/>
    <x v="1491"/>
  </r>
  <r>
    <x v="0"/>
    <x v="89"/>
    <x v="124"/>
    <x v="1492"/>
  </r>
  <r>
    <x v="1"/>
    <x v="156"/>
    <x v="124"/>
    <x v="1493"/>
  </r>
  <r>
    <x v="9"/>
    <x v="215"/>
    <x v="124"/>
    <x v="1494"/>
  </r>
  <r>
    <x v="5"/>
    <x v="118"/>
    <x v="124"/>
    <x v="1495"/>
  </r>
  <r>
    <x v="6"/>
    <x v="142"/>
    <x v="124"/>
    <x v="1496"/>
  </r>
  <r>
    <x v="6"/>
    <x v="79"/>
    <x v="124"/>
    <x v="1497"/>
  </r>
  <r>
    <x v="6"/>
    <x v="114"/>
    <x v="124"/>
    <x v="1498"/>
  </r>
  <r>
    <x v="6"/>
    <x v="80"/>
    <x v="124"/>
    <x v="1499"/>
  </r>
  <r>
    <x v="6"/>
    <x v="144"/>
    <x v="124"/>
    <x v="1500"/>
  </r>
  <r>
    <x v="7"/>
    <x v="124"/>
    <x v="124"/>
    <x v="1501"/>
  </r>
  <r>
    <x v="7"/>
    <x v="10"/>
    <x v="124"/>
    <x v="1502"/>
  </r>
  <r>
    <x v="7"/>
    <x v="126"/>
    <x v="124"/>
    <x v="1503"/>
  </r>
  <r>
    <x v="7"/>
    <x v="50"/>
    <x v="124"/>
    <x v="1504"/>
  </r>
  <r>
    <x v="2"/>
    <x v="2"/>
    <x v="125"/>
    <x v="1505"/>
  </r>
  <r>
    <x v="8"/>
    <x v="85"/>
    <x v="125"/>
    <x v="1506"/>
  </r>
  <r>
    <x v="9"/>
    <x v="174"/>
    <x v="125"/>
    <x v="1507"/>
  </r>
  <r>
    <x v="6"/>
    <x v="57"/>
    <x v="125"/>
    <x v="1508"/>
  </r>
  <r>
    <x v="7"/>
    <x v="177"/>
    <x v="125"/>
    <x v="1509"/>
  </r>
  <r>
    <x v="16"/>
    <x v="154"/>
    <x v="126"/>
    <x v="1510"/>
  </r>
  <r>
    <x v="0"/>
    <x v="179"/>
    <x v="126"/>
    <x v="1511"/>
  </r>
  <r>
    <x v="14"/>
    <x v="196"/>
    <x v="126"/>
    <x v="1512"/>
  </r>
  <r>
    <x v="8"/>
    <x v="228"/>
    <x v="126"/>
    <x v="1513"/>
  </r>
  <r>
    <x v="5"/>
    <x v="191"/>
    <x v="126"/>
    <x v="1514"/>
  </r>
  <r>
    <x v="6"/>
    <x v="114"/>
    <x v="126"/>
    <x v="1515"/>
  </r>
  <r>
    <x v="7"/>
    <x v="7"/>
    <x v="126"/>
    <x v="1516"/>
  </r>
  <r>
    <x v="7"/>
    <x v="46"/>
    <x v="126"/>
    <x v="1517"/>
  </r>
  <r>
    <x v="7"/>
    <x v="38"/>
    <x v="126"/>
    <x v="1518"/>
  </r>
  <r>
    <x v="10"/>
    <x v="222"/>
    <x v="127"/>
    <x v="1519"/>
  </r>
  <r>
    <x v="0"/>
    <x v="212"/>
    <x v="127"/>
    <x v="1520"/>
  </r>
  <r>
    <x v="0"/>
    <x v="51"/>
    <x v="127"/>
    <x v="1521"/>
  </r>
  <r>
    <x v="0"/>
    <x v="84"/>
    <x v="127"/>
    <x v="1522"/>
  </r>
  <r>
    <x v="0"/>
    <x v="91"/>
    <x v="127"/>
    <x v="1523"/>
  </r>
  <r>
    <x v="2"/>
    <x v="13"/>
    <x v="127"/>
    <x v="1524"/>
  </r>
  <r>
    <x v="14"/>
    <x v="130"/>
    <x v="127"/>
    <x v="170"/>
  </r>
  <r>
    <x v="3"/>
    <x v="210"/>
    <x v="127"/>
    <x v="1525"/>
  </r>
  <r>
    <x v="3"/>
    <x v="3"/>
    <x v="127"/>
    <x v="170"/>
  </r>
  <r>
    <x v="9"/>
    <x v="40"/>
    <x v="127"/>
    <x v="1526"/>
  </r>
  <r>
    <x v="9"/>
    <x v="187"/>
    <x v="127"/>
    <x v="1527"/>
  </r>
  <r>
    <x v="12"/>
    <x v="94"/>
    <x v="127"/>
    <x v="1528"/>
  </r>
  <r>
    <x v="5"/>
    <x v="120"/>
    <x v="127"/>
    <x v="1529"/>
  </r>
  <r>
    <x v="5"/>
    <x v="88"/>
    <x v="127"/>
    <x v="1530"/>
  </r>
  <r>
    <x v="5"/>
    <x v="233"/>
    <x v="127"/>
    <x v="1531"/>
  </r>
  <r>
    <x v="7"/>
    <x v="8"/>
    <x v="127"/>
    <x v="1532"/>
  </r>
  <r>
    <x v="7"/>
    <x v="153"/>
    <x v="127"/>
    <x v="1533"/>
  </r>
  <r>
    <x v="7"/>
    <x v="9"/>
    <x v="127"/>
    <x v="1534"/>
  </r>
  <r>
    <x v="7"/>
    <x v="49"/>
    <x v="127"/>
    <x v="1490"/>
  </r>
  <r>
    <x v="7"/>
    <x v="11"/>
    <x v="127"/>
    <x v="1535"/>
  </r>
  <r>
    <x v="7"/>
    <x v="6"/>
    <x v="127"/>
    <x v="1536"/>
  </r>
  <r>
    <x v="7"/>
    <x v="112"/>
    <x v="127"/>
    <x v="1537"/>
  </r>
  <r>
    <x v="7"/>
    <x v="177"/>
    <x v="127"/>
    <x v="1538"/>
  </r>
  <r>
    <x v="7"/>
    <x v="60"/>
    <x v="127"/>
    <x v="1539"/>
  </r>
  <r>
    <x v="7"/>
    <x v="60"/>
    <x v="127"/>
    <x v="1540"/>
  </r>
  <r>
    <x v="0"/>
    <x v="38"/>
    <x v="128"/>
    <x v="1541"/>
  </r>
  <r>
    <x v="0"/>
    <x v="93"/>
    <x v="128"/>
    <x v="1542"/>
  </r>
  <r>
    <x v="9"/>
    <x v="137"/>
    <x v="128"/>
    <x v="1543"/>
  </r>
  <r>
    <x v="5"/>
    <x v="221"/>
    <x v="128"/>
    <x v="1544"/>
  </r>
  <r>
    <x v="6"/>
    <x v="43"/>
    <x v="128"/>
    <x v="1545"/>
  </r>
  <r>
    <x v="7"/>
    <x v="92"/>
    <x v="128"/>
    <x v="1546"/>
  </r>
  <r>
    <x v="7"/>
    <x v="112"/>
    <x v="128"/>
    <x v="1547"/>
  </r>
  <r>
    <x v="7"/>
    <x v="24"/>
    <x v="128"/>
    <x v="1548"/>
  </r>
  <r>
    <x v="16"/>
    <x v="209"/>
    <x v="129"/>
    <x v="1549"/>
  </r>
  <r>
    <x v="0"/>
    <x v="100"/>
    <x v="129"/>
    <x v="1550"/>
  </r>
  <r>
    <x v="0"/>
    <x v="6"/>
    <x v="129"/>
    <x v="1551"/>
  </r>
  <r>
    <x v="5"/>
    <x v="184"/>
    <x v="129"/>
    <x v="1552"/>
  </r>
  <r>
    <x v="6"/>
    <x v="42"/>
    <x v="129"/>
    <x v="1553"/>
  </r>
  <r>
    <x v="7"/>
    <x v="45"/>
    <x v="129"/>
    <x v="1554"/>
  </r>
  <r>
    <x v="16"/>
    <x v="155"/>
    <x v="130"/>
    <x v="1555"/>
  </r>
  <r>
    <x v="0"/>
    <x v="212"/>
    <x v="130"/>
    <x v="1556"/>
  </r>
  <r>
    <x v="0"/>
    <x v="101"/>
    <x v="130"/>
    <x v="1557"/>
  </r>
  <r>
    <x v="1"/>
    <x v="223"/>
    <x v="130"/>
    <x v="1558"/>
  </r>
  <r>
    <x v="1"/>
    <x v="170"/>
    <x v="130"/>
    <x v="1559"/>
  </r>
  <r>
    <x v="4"/>
    <x v="4"/>
    <x v="130"/>
    <x v="1560"/>
  </r>
  <r>
    <x v="5"/>
    <x v="86"/>
    <x v="130"/>
    <x v="1561"/>
  </r>
  <r>
    <x v="6"/>
    <x v="121"/>
    <x v="130"/>
    <x v="1562"/>
  </r>
  <r>
    <x v="6"/>
    <x v="183"/>
    <x v="130"/>
    <x v="1563"/>
  </r>
  <r>
    <x v="6"/>
    <x v="60"/>
    <x v="130"/>
    <x v="1564"/>
  </r>
  <r>
    <x v="6"/>
    <x v="35"/>
    <x v="130"/>
    <x v="1565"/>
  </r>
  <r>
    <x v="7"/>
    <x v="12"/>
    <x v="130"/>
    <x v="1566"/>
  </r>
  <r>
    <x v="7"/>
    <x v="11"/>
    <x v="130"/>
    <x v="1567"/>
  </r>
  <r>
    <x v="7"/>
    <x v="24"/>
    <x v="130"/>
    <x v="507"/>
  </r>
  <r>
    <x v="7"/>
    <x v="25"/>
    <x v="130"/>
    <x v="1568"/>
  </r>
  <r>
    <x v="7"/>
    <x v="25"/>
    <x v="130"/>
    <x v="1569"/>
  </r>
  <r>
    <x v="0"/>
    <x v="204"/>
    <x v="131"/>
    <x v="1570"/>
  </r>
  <r>
    <x v="0"/>
    <x v="172"/>
    <x v="131"/>
    <x v="1571"/>
  </r>
  <r>
    <x v="1"/>
    <x v="1"/>
    <x v="131"/>
    <x v="1572"/>
  </r>
  <r>
    <x v="2"/>
    <x v="64"/>
    <x v="131"/>
    <x v="1573"/>
  </r>
  <r>
    <x v="14"/>
    <x v="200"/>
    <x v="131"/>
    <x v="1574"/>
  </r>
  <r>
    <x v="9"/>
    <x v="30"/>
    <x v="131"/>
    <x v="1575"/>
  </r>
  <r>
    <x v="9"/>
    <x v="211"/>
    <x v="131"/>
    <x v="1576"/>
  </r>
  <r>
    <x v="6"/>
    <x v="123"/>
    <x v="131"/>
    <x v="1577"/>
  </r>
  <r>
    <x v="6"/>
    <x v="35"/>
    <x v="131"/>
    <x v="1578"/>
  </r>
  <r>
    <x v="7"/>
    <x v="58"/>
    <x v="131"/>
    <x v="1579"/>
  </r>
  <r>
    <x v="7"/>
    <x v="37"/>
    <x v="131"/>
    <x v="1580"/>
  </r>
  <r>
    <x v="7"/>
    <x v="38"/>
    <x v="131"/>
    <x v="1581"/>
  </r>
  <r>
    <x v="7"/>
    <x v="145"/>
    <x v="131"/>
    <x v="1582"/>
  </r>
  <r>
    <x v="10"/>
    <x v="26"/>
    <x v="132"/>
    <x v="1583"/>
  </r>
  <r>
    <x v="0"/>
    <x v="83"/>
    <x v="132"/>
    <x v="1584"/>
  </r>
  <r>
    <x v="18"/>
    <x v="194"/>
    <x v="132"/>
    <x v="1585"/>
  </r>
  <r>
    <x v="8"/>
    <x v="29"/>
    <x v="132"/>
    <x v="1586"/>
  </r>
  <r>
    <x v="9"/>
    <x v="135"/>
    <x v="132"/>
    <x v="1587"/>
  </r>
  <r>
    <x v="17"/>
    <x v="149"/>
    <x v="132"/>
    <x v="1588"/>
  </r>
  <r>
    <x v="6"/>
    <x v="17"/>
    <x v="132"/>
    <x v="1589"/>
  </r>
  <r>
    <x v="7"/>
    <x v="125"/>
    <x v="132"/>
    <x v="1590"/>
  </r>
  <r>
    <x v="7"/>
    <x v="126"/>
    <x v="132"/>
    <x v="1591"/>
  </r>
  <r>
    <x v="0"/>
    <x v="193"/>
    <x v="133"/>
    <x v="1346"/>
  </r>
  <r>
    <x v="0"/>
    <x v="190"/>
    <x v="133"/>
    <x v="1592"/>
  </r>
  <r>
    <x v="14"/>
    <x v="105"/>
    <x v="133"/>
    <x v="1593"/>
  </r>
  <r>
    <x v="14"/>
    <x v="73"/>
    <x v="133"/>
    <x v="482"/>
  </r>
  <r>
    <x v="9"/>
    <x v="31"/>
    <x v="133"/>
    <x v="968"/>
  </r>
  <r>
    <x v="6"/>
    <x v="55"/>
    <x v="133"/>
    <x v="1594"/>
  </r>
  <r>
    <x v="6"/>
    <x v="81"/>
    <x v="133"/>
    <x v="1595"/>
  </r>
  <r>
    <x v="7"/>
    <x v="8"/>
    <x v="133"/>
    <x v="1596"/>
  </r>
  <r>
    <x v="7"/>
    <x v="24"/>
    <x v="133"/>
    <x v="1597"/>
  </r>
  <r>
    <x v="0"/>
    <x v="230"/>
    <x v="134"/>
    <x v="1598"/>
  </r>
  <r>
    <x v="8"/>
    <x v="65"/>
    <x v="134"/>
    <x v="1599"/>
  </r>
  <r>
    <x v="5"/>
    <x v="224"/>
    <x v="134"/>
    <x v="1600"/>
  </r>
  <r>
    <x v="6"/>
    <x v="183"/>
    <x v="134"/>
    <x v="1601"/>
  </r>
  <r>
    <x v="6"/>
    <x v="57"/>
    <x v="134"/>
    <x v="1602"/>
  </r>
  <r>
    <x v="6"/>
    <x v="167"/>
    <x v="134"/>
    <x v="1603"/>
  </r>
  <r>
    <x v="7"/>
    <x v="213"/>
    <x v="134"/>
    <x v="1604"/>
  </r>
  <r>
    <x v="7"/>
    <x v="81"/>
    <x v="134"/>
    <x v="1605"/>
  </r>
  <r>
    <x v="1"/>
    <x v="208"/>
    <x v="135"/>
    <x v="170"/>
  </r>
  <r>
    <x v="8"/>
    <x v="227"/>
    <x v="135"/>
    <x v="1606"/>
  </r>
  <r>
    <x v="15"/>
    <x v="74"/>
    <x v="135"/>
    <x v="1607"/>
  </r>
  <r>
    <x v="6"/>
    <x v="225"/>
    <x v="135"/>
    <x v="1608"/>
  </r>
  <r>
    <x v="7"/>
    <x v="46"/>
    <x v="135"/>
    <x v="1609"/>
  </r>
  <r>
    <x v="7"/>
    <x v="49"/>
    <x v="135"/>
    <x v="1610"/>
  </r>
  <r>
    <x v="7"/>
    <x v="21"/>
    <x v="135"/>
    <x v="1611"/>
  </r>
  <r>
    <x v="7"/>
    <x v="24"/>
    <x v="135"/>
    <x v="1612"/>
  </r>
  <r>
    <x v="0"/>
    <x v="28"/>
    <x v="136"/>
    <x v="1613"/>
  </r>
  <r>
    <x v="14"/>
    <x v="232"/>
    <x v="136"/>
    <x v="1614"/>
  </r>
  <r>
    <x v="8"/>
    <x v="181"/>
    <x v="136"/>
    <x v="1615"/>
  </r>
  <r>
    <x v="9"/>
    <x v="217"/>
    <x v="136"/>
    <x v="1616"/>
  </r>
  <r>
    <x v="17"/>
    <x v="76"/>
    <x v="136"/>
    <x v="1617"/>
  </r>
  <r>
    <x v="6"/>
    <x v="97"/>
    <x v="136"/>
    <x v="1618"/>
  </r>
  <r>
    <x v="6"/>
    <x v="42"/>
    <x v="136"/>
    <x v="1619"/>
  </r>
  <r>
    <x v="6"/>
    <x v="168"/>
    <x v="136"/>
    <x v="1620"/>
  </r>
  <r>
    <x v="7"/>
    <x v="8"/>
    <x v="136"/>
    <x v="1621"/>
  </r>
  <r>
    <x v="7"/>
    <x v="143"/>
    <x v="136"/>
    <x v="271"/>
  </r>
  <r>
    <x v="7"/>
    <x v="20"/>
    <x v="136"/>
    <x v="1622"/>
  </r>
  <r>
    <x v="7"/>
    <x v="177"/>
    <x v="136"/>
    <x v="1623"/>
  </r>
  <r>
    <x v="7"/>
    <x v="61"/>
    <x v="136"/>
    <x v="1624"/>
  </r>
  <r>
    <x v="16"/>
    <x v="151"/>
    <x v="137"/>
    <x v="1625"/>
  </r>
  <r>
    <x v="0"/>
    <x v="72"/>
    <x v="137"/>
    <x v="1626"/>
  </r>
  <r>
    <x v="2"/>
    <x v="226"/>
    <x v="137"/>
    <x v="1627"/>
  </r>
  <r>
    <x v="17"/>
    <x v="234"/>
    <x v="137"/>
    <x v="1628"/>
  </r>
  <r>
    <x v="12"/>
    <x v="180"/>
    <x v="137"/>
    <x v="1629"/>
  </r>
  <r>
    <x v="6"/>
    <x v="69"/>
    <x v="137"/>
    <x v="1630"/>
  </r>
  <r>
    <x v="6"/>
    <x v="57"/>
    <x v="137"/>
    <x v="1631"/>
  </r>
  <r>
    <x v="7"/>
    <x v="49"/>
    <x v="137"/>
    <x v="1632"/>
  </r>
  <r>
    <x v="7"/>
    <x v="161"/>
    <x v="137"/>
    <x v="1633"/>
  </r>
  <r>
    <x v="7"/>
    <x v="50"/>
    <x v="137"/>
    <x v="1634"/>
  </r>
  <r>
    <x v="16"/>
    <x v="169"/>
    <x v="138"/>
    <x v="1635"/>
  </r>
  <r>
    <x v="16"/>
    <x v="178"/>
    <x v="138"/>
    <x v="1636"/>
  </r>
  <r>
    <x v="0"/>
    <x v="44"/>
    <x v="138"/>
    <x v="1637"/>
  </r>
  <r>
    <x v="1"/>
    <x v="128"/>
    <x v="138"/>
    <x v="893"/>
  </r>
  <r>
    <x v="3"/>
    <x v="131"/>
    <x v="138"/>
    <x v="1638"/>
  </r>
  <r>
    <x v="5"/>
    <x v="201"/>
    <x v="138"/>
    <x v="1639"/>
  </r>
  <r>
    <x v="5"/>
    <x v="87"/>
    <x v="138"/>
    <x v="1640"/>
  </r>
  <r>
    <x v="5"/>
    <x v="78"/>
    <x v="138"/>
    <x v="1641"/>
  </r>
  <r>
    <x v="5"/>
    <x v="96"/>
    <x v="138"/>
    <x v="1642"/>
  </r>
  <r>
    <x v="6"/>
    <x v="68"/>
    <x v="138"/>
    <x v="1643"/>
  </r>
  <r>
    <x v="6"/>
    <x v="39"/>
    <x v="138"/>
    <x v="1644"/>
  </r>
  <r>
    <x v="7"/>
    <x v="59"/>
    <x v="138"/>
    <x v="1645"/>
  </r>
  <r>
    <x v="7"/>
    <x v="17"/>
    <x v="138"/>
    <x v="1646"/>
  </r>
  <r>
    <x v="7"/>
    <x v="20"/>
    <x v="138"/>
    <x v="1647"/>
  </r>
  <r>
    <x v="7"/>
    <x v="49"/>
    <x v="138"/>
    <x v="1648"/>
  </r>
  <r>
    <x v="7"/>
    <x v="23"/>
    <x v="138"/>
    <x v="1649"/>
  </r>
  <r>
    <x v="7"/>
    <x v="61"/>
    <x v="138"/>
    <x v="1650"/>
  </r>
  <r>
    <x v="0"/>
    <x v="43"/>
    <x v="139"/>
    <x v="1651"/>
  </r>
  <r>
    <x v="8"/>
    <x v="134"/>
    <x v="139"/>
    <x v="1652"/>
  </r>
  <r>
    <x v="8"/>
    <x v="198"/>
    <x v="139"/>
    <x v="1653"/>
  </r>
  <r>
    <x v="9"/>
    <x v="165"/>
    <x v="139"/>
    <x v="1654"/>
  </r>
  <r>
    <x v="9"/>
    <x v="148"/>
    <x v="139"/>
    <x v="1655"/>
  </r>
  <r>
    <x v="12"/>
    <x v="77"/>
    <x v="139"/>
    <x v="170"/>
  </r>
  <r>
    <x v="6"/>
    <x v="122"/>
    <x v="139"/>
    <x v="1656"/>
  </r>
  <r>
    <x v="6"/>
    <x v="182"/>
    <x v="139"/>
    <x v="837"/>
  </r>
  <r>
    <x v="7"/>
    <x v="45"/>
    <x v="139"/>
    <x v="1657"/>
  </r>
  <r>
    <x v="7"/>
    <x v="17"/>
    <x v="139"/>
    <x v="1658"/>
  </r>
  <r>
    <x v="7"/>
    <x v="46"/>
    <x v="139"/>
    <x v="1659"/>
  </r>
  <r>
    <x v="7"/>
    <x v="20"/>
    <x v="139"/>
    <x v="1660"/>
  </r>
  <r>
    <x v="7"/>
    <x v="124"/>
    <x v="139"/>
    <x v="1661"/>
  </r>
  <r>
    <x v="7"/>
    <x v="10"/>
    <x v="139"/>
    <x v="1662"/>
  </r>
  <r>
    <x v="7"/>
    <x v="24"/>
    <x v="139"/>
    <x v="1663"/>
  </r>
  <r>
    <x v="16"/>
    <x v="53"/>
    <x v="140"/>
    <x v="1664"/>
  </r>
  <r>
    <x v="0"/>
    <x v="205"/>
    <x v="140"/>
    <x v="1665"/>
  </r>
  <r>
    <x v="6"/>
    <x v="142"/>
    <x v="140"/>
    <x v="1666"/>
  </r>
  <r>
    <x v="6"/>
    <x v="203"/>
    <x v="140"/>
    <x v="1667"/>
  </r>
  <r>
    <x v="6"/>
    <x v="43"/>
    <x v="140"/>
    <x v="1668"/>
  </r>
  <r>
    <x v="7"/>
    <x v="59"/>
    <x v="140"/>
    <x v="1669"/>
  </r>
  <r>
    <x v="7"/>
    <x v="12"/>
    <x v="140"/>
    <x v="1670"/>
  </r>
  <r>
    <x v="7"/>
    <x v="46"/>
    <x v="140"/>
    <x v="1671"/>
  </r>
  <r>
    <x v="7"/>
    <x v="71"/>
    <x v="140"/>
    <x v="1672"/>
  </r>
  <r>
    <x v="7"/>
    <x v="161"/>
    <x v="140"/>
    <x v="1673"/>
  </r>
  <r>
    <x v="7"/>
    <x v="161"/>
    <x v="140"/>
    <x v="1674"/>
  </r>
  <r>
    <x v="0"/>
    <x v="18"/>
    <x v="141"/>
    <x v="1675"/>
  </r>
  <r>
    <x v="0"/>
    <x v="115"/>
    <x v="141"/>
    <x v="1676"/>
  </r>
  <r>
    <x v="0"/>
    <x v="207"/>
    <x v="141"/>
    <x v="1677"/>
  </r>
  <r>
    <x v="0"/>
    <x v="190"/>
    <x v="141"/>
    <x v="1678"/>
  </r>
  <r>
    <x v="2"/>
    <x v="104"/>
    <x v="141"/>
    <x v="1679"/>
  </r>
  <r>
    <x v="4"/>
    <x v="139"/>
    <x v="141"/>
    <x v="1680"/>
  </r>
  <r>
    <x v="12"/>
    <x v="236"/>
    <x v="141"/>
    <x v="1681"/>
  </r>
  <r>
    <x v="6"/>
    <x v="218"/>
    <x v="141"/>
    <x v="1682"/>
  </r>
  <r>
    <x v="7"/>
    <x v="143"/>
    <x v="141"/>
    <x v="1683"/>
  </r>
  <r>
    <x v="7"/>
    <x v="11"/>
    <x v="141"/>
    <x v="1684"/>
  </r>
  <r>
    <x v="7"/>
    <x v="91"/>
    <x v="141"/>
    <x v="1685"/>
  </r>
  <r>
    <x v="0"/>
    <x v="63"/>
    <x v="142"/>
    <x v="1686"/>
  </r>
  <r>
    <x v="0"/>
    <x v="127"/>
    <x v="142"/>
    <x v="1687"/>
  </r>
  <r>
    <x v="18"/>
    <x v="189"/>
    <x v="142"/>
    <x v="1688"/>
  </r>
  <r>
    <x v="1"/>
    <x v="103"/>
    <x v="142"/>
    <x v="170"/>
  </r>
  <r>
    <x v="1"/>
    <x v="229"/>
    <x v="142"/>
    <x v="1689"/>
  </r>
  <r>
    <x v="2"/>
    <x v="146"/>
    <x v="142"/>
    <x v="1690"/>
  </r>
  <r>
    <x v="5"/>
    <x v="90"/>
    <x v="142"/>
    <x v="705"/>
  </r>
  <r>
    <x v="6"/>
    <x v="203"/>
    <x v="142"/>
    <x v="1691"/>
  </r>
  <r>
    <x v="7"/>
    <x v="8"/>
    <x v="142"/>
    <x v="1692"/>
  </r>
  <r>
    <x v="7"/>
    <x v="20"/>
    <x v="142"/>
    <x v="1693"/>
  </r>
  <r>
    <x v="7"/>
    <x v="11"/>
    <x v="142"/>
    <x v="1694"/>
  </r>
  <r>
    <x v="7"/>
    <x v="11"/>
    <x v="142"/>
    <x v="1695"/>
  </r>
  <r>
    <x v="16"/>
    <x v="188"/>
    <x v="143"/>
    <x v="1696"/>
  </r>
  <r>
    <x v="3"/>
    <x v="109"/>
    <x v="143"/>
    <x v="1697"/>
  </r>
  <r>
    <x v="17"/>
    <x v="75"/>
    <x v="143"/>
    <x v="1698"/>
  </r>
  <r>
    <x v="5"/>
    <x v="191"/>
    <x v="143"/>
    <x v="1699"/>
  </r>
  <r>
    <x v="6"/>
    <x v="111"/>
    <x v="143"/>
    <x v="1553"/>
  </r>
  <r>
    <x v="6"/>
    <x v="182"/>
    <x v="143"/>
    <x v="1700"/>
  </r>
  <r>
    <x v="6"/>
    <x v="114"/>
    <x v="143"/>
    <x v="1701"/>
  </r>
  <r>
    <x v="6"/>
    <x v="80"/>
    <x v="143"/>
    <x v="1702"/>
  </r>
  <r>
    <x v="7"/>
    <x v="7"/>
    <x v="143"/>
    <x v="1703"/>
  </r>
  <r>
    <x v="7"/>
    <x v="19"/>
    <x v="143"/>
    <x v="1704"/>
  </r>
  <r>
    <x v="7"/>
    <x v="45"/>
    <x v="143"/>
    <x v="1705"/>
  </r>
  <r>
    <x v="7"/>
    <x v="70"/>
    <x v="143"/>
    <x v="1706"/>
  </r>
  <r>
    <x v="7"/>
    <x v="70"/>
    <x v="143"/>
    <x v="1707"/>
  </r>
  <r>
    <x v="0"/>
    <x v="99"/>
    <x v="144"/>
    <x v="1708"/>
  </r>
  <r>
    <x v="14"/>
    <x v="108"/>
    <x v="144"/>
    <x v="1709"/>
  </r>
  <r>
    <x v="9"/>
    <x v="235"/>
    <x v="144"/>
    <x v="1710"/>
  </r>
  <r>
    <x v="6"/>
    <x v="36"/>
    <x v="144"/>
    <x v="1711"/>
  </r>
  <r>
    <x v="7"/>
    <x v="97"/>
    <x v="144"/>
    <x v="1712"/>
  </r>
  <r>
    <x v="7"/>
    <x v="46"/>
    <x v="144"/>
    <x v="1713"/>
  </r>
  <r>
    <x v="7"/>
    <x v="21"/>
    <x v="144"/>
    <x v="1714"/>
  </r>
  <r>
    <x v="7"/>
    <x v="21"/>
    <x v="144"/>
    <x v="1715"/>
  </r>
  <r>
    <x v="7"/>
    <x v="70"/>
    <x v="144"/>
    <x v="1716"/>
  </r>
  <r>
    <x v="7"/>
    <x v="22"/>
    <x v="144"/>
    <x v="1717"/>
  </r>
  <r>
    <x v="7"/>
    <x v="71"/>
    <x v="144"/>
    <x v="1718"/>
  </r>
  <r>
    <x v="7"/>
    <x v="112"/>
    <x v="144"/>
    <x v="1719"/>
  </r>
  <r>
    <x v="7"/>
    <x v="25"/>
    <x v="144"/>
    <x v="1720"/>
  </r>
  <r>
    <x v="1"/>
    <x v="62"/>
    <x v="145"/>
    <x v="1721"/>
  </r>
  <r>
    <x v="2"/>
    <x v="129"/>
    <x v="145"/>
    <x v="1722"/>
  </r>
  <r>
    <x v="14"/>
    <x v="219"/>
    <x v="145"/>
    <x v="1723"/>
  </r>
  <r>
    <x v="3"/>
    <x v="158"/>
    <x v="145"/>
    <x v="170"/>
  </r>
  <r>
    <x v="12"/>
    <x v="175"/>
    <x v="145"/>
    <x v="1724"/>
  </r>
  <r>
    <x v="5"/>
    <x v="202"/>
    <x v="145"/>
    <x v="1725"/>
  </r>
  <r>
    <x v="5"/>
    <x v="136"/>
    <x v="145"/>
    <x v="1726"/>
  </r>
  <r>
    <x v="6"/>
    <x v="192"/>
    <x v="145"/>
    <x v="1675"/>
  </r>
  <r>
    <x v="6"/>
    <x v="122"/>
    <x v="145"/>
    <x v="1727"/>
  </r>
  <r>
    <x v="7"/>
    <x v="46"/>
    <x v="145"/>
    <x v="1728"/>
  </r>
  <r>
    <x v="7"/>
    <x v="10"/>
    <x v="145"/>
    <x v="1729"/>
  </r>
  <r>
    <x v="7"/>
    <x v="126"/>
    <x v="145"/>
    <x v="1730"/>
  </r>
  <r>
    <x v="1"/>
    <x v="231"/>
    <x v="146"/>
    <x v="1731"/>
  </r>
  <r>
    <x v="5"/>
    <x v="176"/>
    <x v="146"/>
    <x v="1732"/>
  </r>
  <r>
    <x v="6"/>
    <x v="150"/>
    <x v="146"/>
    <x v="1733"/>
  </r>
  <r>
    <x v="6"/>
    <x v="60"/>
    <x v="146"/>
    <x v="1734"/>
  </r>
  <r>
    <x v="6"/>
    <x v="36"/>
    <x v="146"/>
    <x v="1735"/>
  </r>
  <r>
    <x v="7"/>
    <x v="46"/>
    <x v="146"/>
    <x v="1736"/>
  </r>
  <r>
    <x v="7"/>
    <x v="48"/>
    <x v="146"/>
    <x v="1737"/>
  </r>
  <r>
    <x v="7"/>
    <x v="124"/>
    <x v="146"/>
    <x v="1738"/>
  </r>
  <r>
    <x v="7"/>
    <x v="23"/>
    <x v="146"/>
    <x v="1739"/>
  </r>
  <r>
    <x v="7"/>
    <x v="125"/>
    <x v="146"/>
    <x v="1740"/>
  </r>
  <r>
    <x v="7"/>
    <x v="92"/>
    <x v="146"/>
    <x v="1741"/>
  </r>
  <r>
    <x v="1"/>
    <x v="163"/>
    <x v="147"/>
    <x v="1742"/>
  </r>
  <r>
    <x v="8"/>
    <x v="119"/>
    <x v="147"/>
    <x v="1743"/>
  </r>
  <r>
    <x v="9"/>
    <x v="140"/>
    <x v="147"/>
    <x v="1744"/>
  </r>
  <r>
    <x v="9"/>
    <x v="67"/>
    <x v="147"/>
    <x v="1745"/>
  </r>
  <r>
    <x v="5"/>
    <x v="133"/>
    <x v="147"/>
    <x v="1746"/>
  </r>
  <r>
    <x v="6"/>
    <x v="57"/>
    <x v="147"/>
    <x v="1747"/>
  </r>
  <r>
    <x v="6"/>
    <x v="152"/>
    <x v="147"/>
    <x v="1748"/>
  </r>
  <r>
    <x v="7"/>
    <x v="82"/>
    <x v="147"/>
    <x v="1749"/>
  </r>
  <r>
    <x v="7"/>
    <x v="112"/>
    <x v="147"/>
    <x v="1750"/>
  </r>
  <r>
    <x v="7"/>
    <x v="39"/>
    <x v="147"/>
    <x v="1751"/>
  </r>
  <r>
    <x v="16"/>
    <x v="138"/>
    <x v="148"/>
    <x v="1752"/>
  </r>
  <r>
    <x v="0"/>
    <x v="0"/>
    <x v="148"/>
    <x v="1753"/>
  </r>
  <r>
    <x v="0"/>
    <x v="116"/>
    <x v="148"/>
    <x v="1754"/>
  </r>
  <r>
    <x v="18"/>
    <x v="195"/>
    <x v="148"/>
    <x v="1755"/>
  </r>
  <r>
    <x v="14"/>
    <x v="147"/>
    <x v="148"/>
    <x v="1756"/>
  </r>
  <r>
    <x v="8"/>
    <x v="14"/>
    <x v="148"/>
    <x v="1757"/>
  </r>
  <r>
    <x v="4"/>
    <x v="214"/>
    <x v="148"/>
    <x v="1758"/>
  </r>
  <r>
    <x v="9"/>
    <x v="185"/>
    <x v="148"/>
    <x v="1759"/>
  </r>
  <r>
    <x v="12"/>
    <x v="32"/>
    <x v="148"/>
    <x v="1760"/>
  </r>
  <r>
    <x v="7"/>
    <x v="160"/>
    <x v="148"/>
    <x v="1761"/>
  </r>
  <r>
    <x v="7"/>
    <x v="213"/>
    <x v="148"/>
    <x v="1762"/>
  </r>
  <r>
    <x v="7"/>
    <x v="47"/>
    <x v="148"/>
    <x v="1763"/>
  </r>
  <r>
    <x v="7"/>
    <x v="145"/>
    <x v="148"/>
    <x v="1764"/>
  </r>
  <r>
    <x v="7"/>
    <x v="71"/>
    <x v="148"/>
    <x v="1765"/>
  </r>
  <r>
    <x v="7"/>
    <x v="161"/>
    <x v="148"/>
    <x v="1766"/>
  </r>
  <r>
    <x v="8"/>
    <x v="197"/>
    <x v="149"/>
    <x v="1767"/>
  </r>
  <r>
    <x v="8"/>
    <x v="220"/>
    <x v="149"/>
    <x v="1768"/>
  </r>
  <r>
    <x v="9"/>
    <x v="186"/>
    <x v="149"/>
    <x v="1769"/>
  </r>
  <r>
    <x v="12"/>
    <x v="113"/>
    <x v="149"/>
    <x v="170"/>
  </r>
  <r>
    <x v="12"/>
    <x v="171"/>
    <x v="149"/>
    <x v="1770"/>
  </r>
  <r>
    <x v="5"/>
    <x v="33"/>
    <x v="149"/>
    <x v="1771"/>
  </r>
  <r>
    <x v="6"/>
    <x v="79"/>
    <x v="149"/>
    <x v="1772"/>
  </r>
  <r>
    <x v="6"/>
    <x v="111"/>
    <x v="149"/>
    <x v="1773"/>
  </r>
  <r>
    <x v="6"/>
    <x v="57"/>
    <x v="149"/>
    <x v="1774"/>
  </r>
  <r>
    <x v="7"/>
    <x v="177"/>
    <x v="149"/>
    <x v="1775"/>
  </r>
  <r>
    <x v="0"/>
    <x v="199"/>
    <x v="150"/>
    <x v="1776"/>
  </r>
  <r>
    <x v="0"/>
    <x v="206"/>
    <x v="150"/>
    <x v="1777"/>
  </r>
  <r>
    <x v="1"/>
    <x v="216"/>
    <x v="150"/>
    <x v="1778"/>
  </r>
  <r>
    <x v="8"/>
    <x v="66"/>
    <x v="150"/>
    <x v="1779"/>
  </r>
  <r>
    <x v="9"/>
    <x v="15"/>
    <x v="150"/>
    <x v="1780"/>
  </r>
  <r>
    <x v="9"/>
    <x v="157"/>
    <x v="150"/>
    <x v="1781"/>
  </r>
  <r>
    <x v="6"/>
    <x v="19"/>
    <x v="150"/>
    <x v="1782"/>
  </r>
  <r>
    <x v="6"/>
    <x v="68"/>
    <x v="150"/>
    <x v="1783"/>
  </r>
  <r>
    <x v="7"/>
    <x v="46"/>
    <x v="150"/>
    <x v="1784"/>
  </r>
  <r>
    <x v="7"/>
    <x v="22"/>
    <x v="150"/>
    <x v="1785"/>
  </r>
  <r>
    <x v="7"/>
    <x v="115"/>
    <x v="150"/>
    <x v="1786"/>
  </r>
  <r>
    <x v="7"/>
    <x v="11"/>
    <x v="150"/>
    <x v="1787"/>
  </r>
  <r>
    <x v="7"/>
    <x v="39"/>
    <x v="150"/>
    <x v="1788"/>
  </r>
  <r>
    <x v="16"/>
    <x v="170"/>
    <x v="151"/>
    <x v="1789"/>
  </r>
  <r>
    <x v="0"/>
    <x v="193"/>
    <x v="151"/>
    <x v="1790"/>
  </r>
  <r>
    <x v="0"/>
    <x v="172"/>
    <x v="151"/>
    <x v="1791"/>
  </r>
  <r>
    <x v="1"/>
    <x v="1"/>
    <x v="151"/>
    <x v="1792"/>
  </r>
  <r>
    <x v="14"/>
    <x v="232"/>
    <x v="151"/>
    <x v="1793"/>
  </r>
  <r>
    <x v="3"/>
    <x v="158"/>
    <x v="151"/>
    <x v="170"/>
  </r>
  <r>
    <x v="15"/>
    <x v="74"/>
    <x v="151"/>
    <x v="1794"/>
  </r>
  <r>
    <x v="9"/>
    <x v="235"/>
    <x v="151"/>
    <x v="1795"/>
  </r>
  <r>
    <x v="12"/>
    <x v="95"/>
    <x v="151"/>
    <x v="1796"/>
  </r>
  <r>
    <x v="5"/>
    <x v="57"/>
    <x v="151"/>
    <x v="1797"/>
  </r>
  <r>
    <x v="6"/>
    <x v="42"/>
    <x v="151"/>
    <x v="1798"/>
  </r>
  <r>
    <x v="6"/>
    <x v="168"/>
    <x v="151"/>
    <x v="1799"/>
  </r>
  <r>
    <x v="7"/>
    <x v="143"/>
    <x v="151"/>
    <x v="1800"/>
  </r>
  <r>
    <x v="7"/>
    <x v="126"/>
    <x v="151"/>
    <x v="1801"/>
  </r>
  <r>
    <x v="10"/>
    <x v="222"/>
    <x v="152"/>
    <x v="1802"/>
  </r>
  <r>
    <x v="14"/>
    <x v="219"/>
    <x v="152"/>
    <x v="170"/>
  </r>
  <r>
    <x v="3"/>
    <x v="210"/>
    <x v="152"/>
    <x v="170"/>
  </r>
  <r>
    <x v="9"/>
    <x v="174"/>
    <x v="152"/>
    <x v="1803"/>
  </r>
  <r>
    <x v="6"/>
    <x v="142"/>
    <x v="152"/>
    <x v="1804"/>
  </r>
  <r>
    <x v="6"/>
    <x v="89"/>
    <x v="152"/>
    <x v="1805"/>
  </r>
  <r>
    <x v="6"/>
    <x v="35"/>
    <x v="152"/>
    <x v="1806"/>
  </r>
  <r>
    <x v="7"/>
    <x v="122"/>
    <x v="152"/>
    <x v="1807"/>
  </r>
  <r>
    <x v="7"/>
    <x v="39"/>
    <x v="152"/>
    <x v="1808"/>
  </r>
  <r>
    <x v="7"/>
    <x v="25"/>
    <x v="152"/>
    <x v="1809"/>
  </r>
  <r>
    <x v="0"/>
    <x v="63"/>
    <x v="153"/>
    <x v="1810"/>
  </r>
  <r>
    <x v="0"/>
    <x v="63"/>
    <x v="153"/>
    <x v="1811"/>
  </r>
  <r>
    <x v="1"/>
    <x v="52"/>
    <x v="153"/>
    <x v="1812"/>
  </r>
  <r>
    <x v="9"/>
    <x v="148"/>
    <x v="153"/>
    <x v="1813"/>
  </r>
  <r>
    <x v="12"/>
    <x v="77"/>
    <x v="153"/>
    <x v="1814"/>
  </r>
  <r>
    <x v="6"/>
    <x v="150"/>
    <x v="153"/>
    <x v="1815"/>
  </r>
  <r>
    <x v="6"/>
    <x v="111"/>
    <x v="153"/>
    <x v="1816"/>
  </r>
  <r>
    <x v="6"/>
    <x v="118"/>
    <x v="153"/>
    <x v="1817"/>
  </r>
  <r>
    <x v="6"/>
    <x v="44"/>
    <x v="153"/>
    <x v="1818"/>
  </r>
  <r>
    <x v="7"/>
    <x v="17"/>
    <x v="153"/>
    <x v="1819"/>
  </r>
  <r>
    <x v="7"/>
    <x v="39"/>
    <x v="153"/>
    <x v="1820"/>
  </r>
  <r>
    <x v="7"/>
    <x v="50"/>
    <x v="153"/>
    <x v="1821"/>
  </r>
  <r>
    <x v="11"/>
    <x v="27"/>
    <x v="154"/>
    <x v="1822"/>
  </r>
  <r>
    <x v="0"/>
    <x v="63"/>
    <x v="154"/>
    <x v="1823"/>
  </r>
  <r>
    <x v="0"/>
    <x v="79"/>
    <x v="154"/>
    <x v="1824"/>
  </r>
  <r>
    <x v="2"/>
    <x v="13"/>
    <x v="154"/>
    <x v="1825"/>
  </r>
  <r>
    <x v="8"/>
    <x v="66"/>
    <x v="154"/>
    <x v="1826"/>
  </r>
  <r>
    <x v="9"/>
    <x v="187"/>
    <x v="154"/>
    <x v="1827"/>
  </r>
  <r>
    <x v="7"/>
    <x v="59"/>
    <x v="154"/>
    <x v="1828"/>
  </r>
  <r>
    <x v="7"/>
    <x v="213"/>
    <x v="154"/>
    <x v="1829"/>
  </r>
  <r>
    <x v="7"/>
    <x v="46"/>
    <x v="154"/>
    <x v="1830"/>
  </r>
  <r>
    <x v="7"/>
    <x v="123"/>
    <x v="154"/>
    <x v="1831"/>
  </r>
  <r>
    <x v="7"/>
    <x v="25"/>
    <x v="154"/>
    <x v="1832"/>
  </r>
  <r>
    <x v="7"/>
    <x v="91"/>
    <x v="154"/>
    <x v="1833"/>
  </r>
  <r>
    <x v="0"/>
    <x v="204"/>
    <x v="155"/>
    <x v="1834"/>
  </r>
  <r>
    <x v="0"/>
    <x v="162"/>
    <x v="155"/>
    <x v="1835"/>
  </r>
  <r>
    <x v="18"/>
    <x v="195"/>
    <x v="155"/>
    <x v="1836"/>
  </r>
  <r>
    <x v="8"/>
    <x v="164"/>
    <x v="155"/>
    <x v="1837"/>
  </r>
  <r>
    <x v="9"/>
    <x v="211"/>
    <x v="155"/>
    <x v="1838"/>
  </r>
  <r>
    <x v="5"/>
    <x v="16"/>
    <x v="155"/>
    <x v="1839"/>
  </r>
  <r>
    <x v="5"/>
    <x v="137"/>
    <x v="155"/>
    <x v="1840"/>
  </r>
  <r>
    <x v="6"/>
    <x v="37"/>
    <x v="155"/>
    <x v="1841"/>
  </r>
  <r>
    <x v="7"/>
    <x v="92"/>
    <x v="155"/>
    <x v="1842"/>
  </r>
  <r>
    <x v="7"/>
    <x v="161"/>
    <x v="155"/>
    <x v="1843"/>
  </r>
  <r>
    <x v="7"/>
    <x v="81"/>
    <x v="155"/>
    <x v="1844"/>
  </r>
  <r>
    <x v="0"/>
    <x v="205"/>
    <x v="156"/>
    <x v="1845"/>
  </r>
  <r>
    <x v="6"/>
    <x v="192"/>
    <x v="156"/>
    <x v="1846"/>
  </r>
  <r>
    <x v="6"/>
    <x v="167"/>
    <x v="156"/>
    <x v="1847"/>
  </r>
  <r>
    <x v="7"/>
    <x v="9"/>
    <x v="156"/>
    <x v="1848"/>
  </r>
  <r>
    <x v="7"/>
    <x v="12"/>
    <x v="156"/>
    <x v="1849"/>
  </r>
  <r>
    <x v="7"/>
    <x v="49"/>
    <x v="156"/>
    <x v="1850"/>
  </r>
  <r>
    <x v="7"/>
    <x v="38"/>
    <x v="156"/>
    <x v="1851"/>
  </r>
  <r>
    <x v="5"/>
    <x v="201"/>
    <x v="157"/>
    <x v="1536"/>
  </r>
  <r>
    <x v="6"/>
    <x v="111"/>
    <x v="157"/>
    <x v="1852"/>
  </r>
  <r>
    <x v="6"/>
    <x v="43"/>
    <x v="157"/>
    <x v="1853"/>
  </r>
  <r>
    <x v="6"/>
    <x v="182"/>
    <x v="157"/>
    <x v="1854"/>
  </r>
  <r>
    <x v="6"/>
    <x v="98"/>
    <x v="157"/>
    <x v="1855"/>
  </r>
  <r>
    <x v="6"/>
    <x v="57"/>
    <x v="157"/>
    <x v="1856"/>
  </r>
  <r>
    <x v="7"/>
    <x v="19"/>
    <x v="157"/>
    <x v="1857"/>
  </r>
  <r>
    <x v="7"/>
    <x v="12"/>
    <x v="157"/>
    <x v="1858"/>
  </r>
  <r>
    <x v="7"/>
    <x v="21"/>
    <x v="157"/>
    <x v="1859"/>
  </r>
  <r>
    <x v="7"/>
    <x v="11"/>
    <x v="157"/>
    <x v="1860"/>
  </r>
  <r>
    <x v="7"/>
    <x v="25"/>
    <x v="157"/>
    <x v="1861"/>
  </r>
  <r>
    <x v="0"/>
    <x v="212"/>
    <x v="158"/>
    <x v="1862"/>
  </r>
  <r>
    <x v="0"/>
    <x v="83"/>
    <x v="158"/>
    <x v="1863"/>
  </r>
  <r>
    <x v="18"/>
    <x v="102"/>
    <x v="158"/>
    <x v="1864"/>
  </r>
  <r>
    <x v="1"/>
    <x v="231"/>
    <x v="158"/>
    <x v="1865"/>
  </r>
  <r>
    <x v="5"/>
    <x v="106"/>
    <x v="158"/>
    <x v="246"/>
  </r>
  <r>
    <x v="5"/>
    <x v="191"/>
    <x v="158"/>
    <x v="1866"/>
  </r>
  <r>
    <x v="7"/>
    <x v="45"/>
    <x v="158"/>
    <x v="1867"/>
  </r>
  <r>
    <x v="7"/>
    <x v="20"/>
    <x v="158"/>
    <x v="1868"/>
  </r>
  <r>
    <x v="7"/>
    <x v="124"/>
    <x v="158"/>
    <x v="1869"/>
  </r>
  <r>
    <x v="7"/>
    <x v="115"/>
    <x v="158"/>
    <x v="1870"/>
  </r>
  <r>
    <x v="16"/>
    <x v="178"/>
    <x v="159"/>
    <x v="1871"/>
  </r>
  <r>
    <x v="0"/>
    <x v="190"/>
    <x v="159"/>
    <x v="1872"/>
  </r>
  <r>
    <x v="0"/>
    <x v="116"/>
    <x v="159"/>
    <x v="1873"/>
  </r>
  <r>
    <x v="14"/>
    <x v="29"/>
    <x v="159"/>
    <x v="1874"/>
  </r>
  <r>
    <x v="9"/>
    <x v="217"/>
    <x v="159"/>
    <x v="1875"/>
  </r>
  <r>
    <x v="5"/>
    <x v="88"/>
    <x v="159"/>
    <x v="1876"/>
  </r>
  <r>
    <x v="7"/>
    <x v="39"/>
    <x v="159"/>
    <x v="1877"/>
  </r>
  <r>
    <x v="10"/>
    <x v="26"/>
    <x v="160"/>
    <x v="1878"/>
  </r>
  <r>
    <x v="0"/>
    <x v="212"/>
    <x v="160"/>
    <x v="1879"/>
  </r>
  <r>
    <x v="1"/>
    <x v="128"/>
    <x v="160"/>
    <x v="1880"/>
  </r>
  <r>
    <x v="1"/>
    <x v="216"/>
    <x v="160"/>
    <x v="1881"/>
  </r>
  <r>
    <x v="1"/>
    <x v="198"/>
    <x v="160"/>
    <x v="1882"/>
  </r>
  <r>
    <x v="2"/>
    <x v="129"/>
    <x v="160"/>
    <x v="1883"/>
  </r>
  <r>
    <x v="7"/>
    <x v="58"/>
    <x v="160"/>
    <x v="1884"/>
  </r>
  <r>
    <x v="7"/>
    <x v="117"/>
    <x v="160"/>
    <x v="156"/>
  </r>
  <r>
    <x v="7"/>
    <x v="126"/>
    <x v="160"/>
    <x v="1885"/>
  </r>
  <r>
    <x v="7"/>
    <x v="50"/>
    <x v="160"/>
    <x v="1886"/>
  </r>
  <r>
    <x v="16"/>
    <x v="138"/>
    <x v="161"/>
    <x v="1887"/>
  </r>
  <r>
    <x v="0"/>
    <x v="51"/>
    <x v="161"/>
    <x v="1888"/>
  </r>
  <r>
    <x v="0"/>
    <x v="69"/>
    <x v="161"/>
    <x v="1889"/>
  </r>
  <r>
    <x v="18"/>
    <x v="132"/>
    <x v="161"/>
    <x v="1890"/>
  </r>
  <r>
    <x v="8"/>
    <x v="133"/>
    <x v="161"/>
    <x v="1891"/>
  </r>
  <r>
    <x v="8"/>
    <x v="14"/>
    <x v="161"/>
    <x v="1892"/>
  </r>
  <r>
    <x v="5"/>
    <x v="34"/>
    <x v="161"/>
    <x v="1893"/>
  </r>
  <r>
    <x v="6"/>
    <x v="0"/>
    <x v="161"/>
    <x v="1894"/>
  </r>
  <r>
    <x v="6"/>
    <x v="160"/>
    <x v="161"/>
    <x v="1895"/>
  </r>
  <r>
    <x v="6"/>
    <x v="183"/>
    <x v="161"/>
    <x v="1896"/>
  </r>
  <r>
    <x v="7"/>
    <x v="8"/>
    <x v="161"/>
    <x v="1897"/>
  </r>
  <r>
    <x v="7"/>
    <x v="38"/>
    <x v="161"/>
    <x v="1898"/>
  </r>
  <r>
    <x v="16"/>
    <x v="154"/>
    <x v="162"/>
    <x v="1899"/>
  </r>
  <r>
    <x v="16"/>
    <x v="155"/>
    <x v="162"/>
    <x v="1900"/>
  </r>
  <r>
    <x v="14"/>
    <x v="196"/>
    <x v="162"/>
    <x v="1901"/>
  </r>
  <r>
    <x v="14"/>
    <x v="147"/>
    <x v="162"/>
    <x v="1902"/>
  </r>
  <r>
    <x v="9"/>
    <x v="215"/>
    <x v="162"/>
    <x v="1903"/>
  </r>
  <r>
    <x v="5"/>
    <x v="176"/>
    <x v="162"/>
    <x v="1904"/>
  </r>
  <r>
    <x v="6"/>
    <x v="97"/>
    <x v="162"/>
    <x v="1905"/>
  </r>
  <r>
    <x v="7"/>
    <x v="159"/>
    <x v="162"/>
    <x v="1906"/>
  </r>
  <r>
    <x v="7"/>
    <x v="70"/>
    <x v="162"/>
    <x v="1907"/>
  </r>
  <r>
    <x v="7"/>
    <x v="23"/>
    <x v="162"/>
    <x v="1908"/>
  </r>
  <r>
    <x v="5"/>
    <x v="5"/>
    <x v="163"/>
    <x v="1909"/>
  </r>
  <r>
    <x v="5"/>
    <x v="166"/>
    <x v="163"/>
    <x v="1910"/>
  </r>
  <r>
    <x v="6"/>
    <x v="97"/>
    <x v="163"/>
    <x v="1911"/>
  </r>
  <r>
    <x v="6"/>
    <x v="225"/>
    <x v="163"/>
    <x v="1912"/>
  </r>
  <r>
    <x v="6"/>
    <x v="56"/>
    <x v="163"/>
    <x v="1913"/>
  </r>
  <r>
    <x v="6"/>
    <x v="121"/>
    <x v="163"/>
    <x v="1440"/>
  </r>
  <r>
    <x v="6"/>
    <x v="183"/>
    <x v="163"/>
    <x v="1914"/>
  </r>
  <r>
    <x v="6"/>
    <x v="218"/>
    <x v="163"/>
    <x v="1915"/>
  </r>
  <r>
    <x v="7"/>
    <x v="58"/>
    <x v="163"/>
    <x v="1916"/>
  </r>
  <r>
    <x v="7"/>
    <x v="24"/>
    <x v="163"/>
    <x v="1917"/>
  </r>
  <r>
    <x v="2"/>
    <x v="226"/>
    <x v="164"/>
    <x v="1918"/>
  </r>
  <r>
    <x v="8"/>
    <x v="85"/>
    <x v="164"/>
    <x v="1919"/>
  </r>
  <r>
    <x v="4"/>
    <x v="4"/>
    <x v="164"/>
    <x v="170"/>
  </r>
  <r>
    <x v="15"/>
    <x v="54"/>
    <x v="164"/>
    <x v="1920"/>
  </r>
  <r>
    <x v="9"/>
    <x v="140"/>
    <x v="164"/>
    <x v="1921"/>
  </r>
  <r>
    <x v="12"/>
    <x v="113"/>
    <x v="164"/>
    <x v="1922"/>
  </r>
  <r>
    <x v="5"/>
    <x v="136"/>
    <x v="164"/>
    <x v="1923"/>
  </r>
  <r>
    <x v="6"/>
    <x v="44"/>
    <x v="164"/>
    <x v="1924"/>
  </r>
  <r>
    <x v="7"/>
    <x v="46"/>
    <x v="164"/>
    <x v="1925"/>
  </r>
  <r>
    <x v="7"/>
    <x v="6"/>
    <x v="164"/>
    <x v="1926"/>
  </r>
  <r>
    <x v="7"/>
    <x v="112"/>
    <x v="164"/>
    <x v="1927"/>
  </r>
  <r>
    <x v="7"/>
    <x v="112"/>
    <x v="164"/>
    <x v="1928"/>
  </r>
  <r>
    <x v="7"/>
    <x v="24"/>
    <x v="164"/>
    <x v="1929"/>
  </r>
  <r>
    <x v="7"/>
    <x v="61"/>
    <x v="164"/>
    <x v="1930"/>
  </r>
  <r>
    <x v="16"/>
    <x v="188"/>
    <x v="165"/>
    <x v="1931"/>
  </r>
  <r>
    <x v="16"/>
    <x v="171"/>
    <x v="165"/>
    <x v="1932"/>
  </r>
  <r>
    <x v="0"/>
    <x v="205"/>
    <x v="165"/>
    <x v="1933"/>
  </r>
  <r>
    <x v="0"/>
    <x v="18"/>
    <x v="165"/>
    <x v="1934"/>
  </r>
  <r>
    <x v="12"/>
    <x v="94"/>
    <x v="165"/>
    <x v="1935"/>
  </r>
  <r>
    <x v="6"/>
    <x v="79"/>
    <x v="165"/>
    <x v="1936"/>
  </r>
  <r>
    <x v="7"/>
    <x v="7"/>
    <x v="165"/>
    <x v="1937"/>
  </r>
  <r>
    <x v="7"/>
    <x v="7"/>
    <x v="165"/>
    <x v="1938"/>
  </r>
  <r>
    <x v="7"/>
    <x v="38"/>
    <x v="165"/>
    <x v="1939"/>
  </r>
  <r>
    <x v="7"/>
    <x v="22"/>
    <x v="165"/>
    <x v="1940"/>
  </r>
  <r>
    <x v="7"/>
    <x v="112"/>
    <x v="165"/>
    <x v="1941"/>
  </r>
  <r>
    <x v="0"/>
    <x v="28"/>
    <x v="166"/>
    <x v="1942"/>
  </r>
  <r>
    <x v="0"/>
    <x v="207"/>
    <x v="166"/>
    <x v="1943"/>
  </r>
  <r>
    <x v="2"/>
    <x v="146"/>
    <x v="166"/>
    <x v="1944"/>
  </r>
  <r>
    <x v="8"/>
    <x v="65"/>
    <x v="166"/>
    <x v="1945"/>
  </r>
  <r>
    <x v="8"/>
    <x v="227"/>
    <x v="166"/>
    <x v="1946"/>
  </r>
  <r>
    <x v="8"/>
    <x v="73"/>
    <x v="166"/>
    <x v="1947"/>
  </r>
  <r>
    <x v="6"/>
    <x v="56"/>
    <x v="166"/>
    <x v="1948"/>
  </r>
  <r>
    <x v="6"/>
    <x v="121"/>
    <x v="166"/>
    <x v="1949"/>
  </r>
  <r>
    <x v="6"/>
    <x v="203"/>
    <x v="166"/>
    <x v="1950"/>
  </r>
  <r>
    <x v="6"/>
    <x v="218"/>
    <x v="166"/>
    <x v="1951"/>
  </r>
  <r>
    <x v="7"/>
    <x v="47"/>
    <x v="166"/>
    <x v="1952"/>
  </r>
  <r>
    <x v="7"/>
    <x v="115"/>
    <x v="166"/>
    <x v="1953"/>
  </r>
  <r>
    <x v="7"/>
    <x v="125"/>
    <x v="166"/>
    <x v="1954"/>
  </r>
  <r>
    <x v="7"/>
    <x v="92"/>
    <x v="166"/>
    <x v="1955"/>
  </r>
  <r>
    <x v="0"/>
    <x v="20"/>
    <x v="167"/>
    <x v="1956"/>
  </r>
  <r>
    <x v="0"/>
    <x v="116"/>
    <x v="167"/>
    <x v="1957"/>
  </r>
  <r>
    <x v="14"/>
    <x v="108"/>
    <x v="167"/>
    <x v="1958"/>
  </r>
  <r>
    <x v="8"/>
    <x v="228"/>
    <x v="167"/>
    <x v="1959"/>
  </r>
  <r>
    <x v="5"/>
    <x v="90"/>
    <x v="167"/>
    <x v="1960"/>
  </r>
  <r>
    <x v="5"/>
    <x v="136"/>
    <x v="167"/>
    <x v="1961"/>
  </r>
  <r>
    <x v="6"/>
    <x v="22"/>
    <x v="167"/>
    <x v="1962"/>
  </r>
  <r>
    <x v="6"/>
    <x v="57"/>
    <x v="167"/>
    <x v="1963"/>
  </r>
  <r>
    <x v="6"/>
    <x v="35"/>
    <x v="167"/>
    <x v="157"/>
  </r>
  <r>
    <x v="7"/>
    <x v="19"/>
    <x v="167"/>
    <x v="1964"/>
  </r>
  <r>
    <x v="7"/>
    <x v="143"/>
    <x v="167"/>
    <x v="1965"/>
  </r>
  <r>
    <x v="7"/>
    <x v="9"/>
    <x v="167"/>
    <x v="1966"/>
  </r>
  <r>
    <x v="7"/>
    <x v="124"/>
    <x v="167"/>
    <x v="1967"/>
  </r>
  <r>
    <x v="7"/>
    <x v="49"/>
    <x v="167"/>
    <x v="1968"/>
  </r>
  <r>
    <x v="7"/>
    <x v="21"/>
    <x v="167"/>
    <x v="1969"/>
  </r>
  <r>
    <x v="7"/>
    <x v="70"/>
    <x v="167"/>
    <x v="1970"/>
  </r>
  <r>
    <x v="7"/>
    <x v="112"/>
    <x v="167"/>
    <x v="1971"/>
  </r>
  <r>
    <x v="7"/>
    <x v="61"/>
    <x v="167"/>
    <x v="1972"/>
  </r>
  <r>
    <x v="4"/>
    <x v="139"/>
    <x v="168"/>
    <x v="1973"/>
  </r>
  <r>
    <x v="9"/>
    <x v="185"/>
    <x v="168"/>
    <x v="1974"/>
  </r>
  <r>
    <x v="5"/>
    <x v="101"/>
    <x v="168"/>
    <x v="1975"/>
  </r>
  <r>
    <x v="5"/>
    <x v="98"/>
    <x v="168"/>
    <x v="1976"/>
  </r>
  <r>
    <x v="5"/>
    <x v="233"/>
    <x v="168"/>
    <x v="1977"/>
  </r>
  <r>
    <x v="6"/>
    <x v="69"/>
    <x v="168"/>
    <x v="1978"/>
  </r>
  <r>
    <x v="7"/>
    <x v="58"/>
    <x v="168"/>
    <x v="1979"/>
  </r>
  <r>
    <x v="7"/>
    <x v="100"/>
    <x v="168"/>
    <x v="1980"/>
  </r>
  <r>
    <x v="7"/>
    <x v="49"/>
    <x v="168"/>
    <x v="1981"/>
  </r>
  <r>
    <x v="7"/>
    <x v="10"/>
    <x v="168"/>
    <x v="1982"/>
  </r>
  <r>
    <x v="0"/>
    <x v="190"/>
    <x v="169"/>
    <x v="1983"/>
  </r>
  <r>
    <x v="0"/>
    <x v="84"/>
    <x v="169"/>
    <x v="1984"/>
  </r>
  <r>
    <x v="2"/>
    <x v="2"/>
    <x v="169"/>
    <x v="1985"/>
  </r>
  <r>
    <x v="14"/>
    <x v="130"/>
    <x v="169"/>
    <x v="1986"/>
  </r>
  <r>
    <x v="9"/>
    <x v="15"/>
    <x v="169"/>
    <x v="1987"/>
  </r>
  <r>
    <x v="9"/>
    <x v="186"/>
    <x v="169"/>
    <x v="1988"/>
  </r>
  <r>
    <x v="9"/>
    <x v="67"/>
    <x v="169"/>
    <x v="1989"/>
  </r>
  <r>
    <x v="6"/>
    <x v="36"/>
    <x v="169"/>
    <x v="1990"/>
  </r>
  <r>
    <x v="7"/>
    <x v="45"/>
    <x v="169"/>
    <x v="1991"/>
  </r>
  <r>
    <x v="7"/>
    <x v="55"/>
    <x v="169"/>
    <x v="1992"/>
  </r>
  <r>
    <x v="7"/>
    <x v="213"/>
    <x v="169"/>
    <x v="1993"/>
  </r>
  <r>
    <x v="7"/>
    <x v="145"/>
    <x v="169"/>
    <x v="1994"/>
  </r>
  <r>
    <x v="7"/>
    <x v="23"/>
    <x v="169"/>
    <x v="1995"/>
  </r>
  <r>
    <x v="7"/>
    <x v="50"/>
    <x v="169"/>
    <x v="1996"/>
  </r>
  <r>
    <x v="7"/>
    <x v="61"/>
    <x v="169"/>
    <x v="1997"/>
  </r>
  <r>
    <x v="1"/>
    <x v="62"/>
    <x v="170"/>
    <x v="1998"/>
  </r>
  <r>
    <x v="1"/>
    <x v="173"/>
    <x v="170"/>
    <x v="1999"/>
  </r>
  <r>
    <x v="3"/>
    <x v="131"/>
    <x v="170"/>
    <x v="2000"/>
  </r>
  <r>
    <x v="3"/>
    <x v="109"/>
    <x v="170"/>
    <x v="2001"/>
  </r>
  <r>
    <x v="6"/>
    <x v="122"/>
    <x v="170"/>
    <x v="2002"/>
  </r>
  <r>
    <x v="6"/>
    <x v="36"/>
    <x v="170"/>
    <x v="2003"/>
  </r>
  <r>
    <x v="6"/>
    <x v="91"/>
    <x v="170"/>
    <x v="2004"/>
  </r>
  <r>
    <x v="7"/>
    <x v="8"/>
    <x v="170"/>
    <x v="2005"/>
  </r>
  <r>
    <x v="7"/>
    <x v="8"/>
    <x v="170"/>
    <x v="2006"/>
  </r>
  <r>
    <x v="7"/>
    <x v="17"/>
    <x v="170"/>
    <x v="2007"/>
  </r>
  <r>
    <x v="16"/>
    <x v="151"/>
    <x v="171"/>
    <x v="763"/>
  </r>
  <r>
    <x v="0"/>
    <x v="99"/>
    <x v="171"/>
    <x v="2008"/>
  </r>
  <r>
    <x v="13"/>
    <x v="41"/>
    <x v="171"/>
    <x v="2009"/>
  </r>
  <r>
    <x v="14"/>
    <x v="209"/>
    <x v="171"/>
    <x v="2010"/>
  </r>
  <r>
    <x v="14"/>
    <x v="119"/>
    <x v="171"/>
    <x v="2011"/>
  </r>
  <r>
    <x v="3"/>
    <x v="3"/>
    <x v="171"/>
    <x v="2012"/>
  </r>
  <r>
    <x v="4"/>
    <x v="234"/>
    <x v="171"/>
    <x v="2013"/>
  </r>
  <r>
    <x v="9"/>
    <x v="15"/>
    <x v="171"/>
    <x v="2014"/>
  </r>
  <r>
    <x v="9"/>
    <x v="165"/>
    <x v="171"/>
    <x v="2015"/>
  </r>
  <r>
    <x v="17"/>
    <x v="149"/>
    <x v="171"/>
    <x v="2016"/>
  </r>
  <r>
    <x v="17"/>
    <x v="76"/>
    <x v="171"/>
    <x v="2017"/>
  </r>
  <r>
    <x v="5"/>
    <x v="86"/>
    <x v="171"/>
    <x v="2018"/>
  </r>
  <r>
    <x v="6"/>
    <x v="89"/>
    <x v="171"/>
    <x v="2019"/>
  </r>
  <r>
    <x v="6"/>
    <x v="68"/>
    <x v="171"/>
    <x v="2020"/>
  </r>
  <r>
    <x v="6"/>
    <x v="80"/>
    <x v="171"/>
    <x v="2021"/>
  </r>
  <r>
    <x v="6"/>
    <x v="60"/>
    <x v="171"/>
    <x v="2022"/>
  </r>
  <r>
    <x v="7"/>
    <x v="12"/>
    <x v="171"/>
    <x v="2023"/>
  </r>
  <r>
    <x v="7"/>
    <x v="20"/>
    <x v="171"/>
    <x v="2024"/>
  </r>
  <r>
    <x v="7"/>
    <x v="115"/>
    <x v="171"/>
    <x v="2025"/>
  </r>
  <r>
    <x v="7"/>
    <x v="82"/>
    <x v="171"/>
    <x v="2026"/>
  </r>
  <r>
    <x v="0"/>
    <x v="179"/>
    <x v="172"/>
    <x v="2027"/>
  </r>
  <r>
    <x v="0"/>
    <x v="71"/>
    <x v="172"/>
    <x v="2028"/>
  </r>
  <r>
    <x v="1"/>
    <x v="229"/>
    <x v="172"/>
    <x v="2029"/>
  </r>
  <r>
    <x v="14"/>
    <x v="53"/>
    <x v="172"/>
    <x v="2030"/>
  </r>
  <r>
    <x v="8"/>
    <x v="134"/>
    <x v="172"/>
    <x v="2031"/>
  </r>
  <r>
    <x v="17"/>
    <x v="75"/>
    <x v="172"/>
    <x v="2032"/>
  </r>
  <r>
    <x v="5"/>
    <x v="141"/>
    <x v="172"/>
    <x v="2033"/>
  </r>
  <r>
    <x v="5"/>
    <x v="218"/>
    <x v="172"/>
    <x v="2034"/>
  </r>
  <r>
    <x v="6"/>
    <x v="8"/>
    <x v="172"/>
    <x v="2035"/>
  </r>
  <r>
    <x v="6"/>
    <x v="123"/>
    <x v="172"/>
    <x v="2036"/>
  </r>
  <r>
    <x v="6"/>
    <x v="98"/>
    <x v="172"/>
    <x v="2037"/>
  </r>
  <r>
    <x v="7"/>
    <x v="70"/>
    <x v="172"/>
    <x v="2038"/>
  </r>
  <r>
    <x v="7"/>
    <x v="177"/>
    <x v="172"/>
    <x v="2039"/>
  </r>
  <r>
    <x v="7"/>
    <x v="60"/>
    <x v="172"/>
    <x v="2040"/>
  </r>
  <r>
    <x v="7"/>
    <x v="60"/>
    <x v="172"/>
    <x v="2041"/>
  </r>
  <r>
    <x v="0"/>
    <x v="230"/>
    <x v="173"/>
    <x v="2042"/>
  </r>
  <r>
    <x v="0"/>
    <x v="206"/>
    <x v="173"/>
    <x v="2043"/>
  </r>
  <r>
    <x v="0"/>
    <x v="10"/>
    <x v="173"/>
    <x v="2044"/>
  </r>
  <r>
    <x v="0"/>
    <x v="72"/>
    <x v="173"/>
    <x v="2045"/>
  </r>
  <r>
    <x v="0"/>
    <x v="57"/>
    <x v="173"/>
    <x v="2046"/>
  </r>
  <r>
    <x v="1"/>
    <x v="103"/>
    <x v="173"/>
    <x v="2047"/>
  </r>
  <r>
    <x v="1"/>
    <x v="208"/>
    <x v="173"/>
    <x v="170"/>
  </r>
  <r>
    <x v="9"/>
    <x v="157"/>
    <x v="173"/>
    <x v="2048"/>
  </r>
  <r>
    <x v="5"/>
    <x v="87"/>
    <x v="173"/>
    <x v="1396"/>
  </r>
  <r>
    <x v="5"/>
    <x v="78"/>
    <x v="173"/>
    <x v="2049"/>
  </r>
  <r>
    <x v="6"/>
    <x v="40"/>
    <x v="173"/>
    <x v="2050"/>
  </r>
  <r>
    <x v="6"/>
    <x v="99"/>
    <x v="173"/>
    <x v="2051"/>
  </r>
  <r>
    <x v="6"/>
    <x v="203"/>
    <x v="173"/>
    <x v="2052"/>
  </r>
  <r>
    <x v="6"/>
    <x v="114"/>
    <x v="173"/>
    <x v="2053"/>
  </r>
  <r>
    <x v="6"/>
    <x v="118"/>
    <x v="173"/>
    <x v="2054"/>
  </r>
  <r>
    <x v="7"/>
    <x v="7"/>
    <x v="173"/>
    <x v="2055"/>
  </r>
  <r>
    <x v="7"/>
    <x v="22"/>
    <x v="173"/>
    <x v="2056"/>
  </r>
  <r>
    <x v="7"/>
    <x v="125"/>
    <x v="173"/>
    <x v="2057"/>
  </r>
  <r>
    <x v="0"/>
    <x v="199"/>
    <x v="174"/>
    <x v="1730"/>
  </r>
  <r>
    <x v="0"/>
    <x v="93"/>
    <x v="174"/>
    <x v="2058"/>
  </r>
  <r>
    <x v="18"/>
    <x v="107"/>
    <x v="174"/>
    <x v="2059"/>
  </r>
  <r>
    <x v="2"/>
    <x v="64"/>
    <x v="174"/>
    <x v="2060"/>
  </r>
  <r>
    <x v="8"/>
    <x v="197"/>
    <x v="174"/>
    <x v="2061"/>
  </r>
  <r>
    <x v="6"/>
    <x v="160"/>
    <x v="174"/>
    <x v="2062"/>
  </r>
  <r>
    <x v="6"/>
    <x v="192"/>
    <x v="174"/>
    <x v="2063"/>
  </r>
  <r>
    <x v="6"/>
    <x v="42"/>
    <x v="174"/>
    <x v="2064"/>
  </r>
  <r>
    <x v="6"/>
    <x v="69"/>
    <x v="174"/>
    <x v="622"/>
  </r>
  <r>
    <x v="7"/>
    <x v="19"/>
    <x v="174"/>
    <x v="2065"/>
  </r>
  <r>
    <x v="7"/>
    <x v="17"/>
    <x v="174"/>
    <x v="2066"/>
  </r>
  <r>
    <x v="7"/>
    <x v="124"/>
    <x v="174"/>
    <x v="2067"/>
  </r>
  <r>
    <x v="7"/>
    <x v="81"/>
    <x v="174"/>
    <x v="2068"/>
  </r>
  <r>
    <x v="0"/>
    <x v="144"/>
    <x v="175"/>
    <x v="2069"/>
  </r>
  <r>
    <x v="9"/>
    <x v="31"/>
    <x v="175"/>
    <x v="2070"/>
  </r>
  <r>
    <x v="5"/>
    <x v="33"/>
    <x v="175"/>
    <x v="2071"/>
  </r>
  <r>
    <x v="19"/>
    <x v="110"/>
    <x v="175"/>
    <x v="2072"/>
  </r>
  <r>
    <x v="7"/>
    <x v="48"/>
    <x v="175"/>
    <x v="2073"/>
  </r>
  <r>
    <x v="7"/>
    <x v="71"/>
    <x v="175"/>
    <x v="2074"/>
  </r>
  <r>
    <x v="0"/>
    <x v="99"/>
    <x v="176"/>
    <x v="2075"/>
  </r>
  <r>
    <x v="1"/>
    <x v="223"/>
    <x v="176"/>
    <x v="2076"/>
  </r>
  <r>
    <x v="6"/>
    <x v="168"/>
    <x v="176"/>
    <x v="2077"/>
  </r>
  <r>
    <x v="6"/>
    <x v="44"/>
    <x v="176"/>
    <x v="1057"/>
  </r>
  <r>
    <x v="7"/>
    <x v="59"/>
    <x v="176"/>
    <x v="2078"/>
  </r>
  <r>
    <x v="7"/>
    <x v="49"/>
    <x v="176"/>
    <x v="2079"/>
  </r>
  <r>
    <x v="7"/>
    <x v="49"/>
    <x v="176"/>
    <x v="2080"/>
  </r>
  <r>
    <x v="7"/>
    <x v="23"/>
    <x v="176"/>
    <x v="2081"/>
  </r>
  <r>
    <x v="7"/>
    <x v="126"/>
    <x v="176"/>
    <x v="2082"/>
  </r>
  <r>
    <x v="1"/>
    <x v="135"/>
    <x v="177"/>
    <x v="2083"/>
  </r>
  <r>
    <x v="2"/>
    <x v="104"/>
    <x v="177"/>
    <x v="2084"/>
  </r>
  <r>
    <x v="14"/>
    <x v="105"/>
    <x v="177"/>
    <x v="2085"/>
  </r>
  <r>
    <x v="14"/>
    <x v="200"/>
    <x v="177"/>
    <x v="2086"/>
  </r>
  <r>
    <x v="12"/>
    <x v="236"/>
    <x v="177"/>
    <x v="2087"/>
  </r>
  <r>
    <x v="12"/>
    <x v="180"/>
    <x v="177"/>
    <x v="2088"/>
  </r>
  <r>
    <x v="5"/>
    <x v="202"/>
    <x v="177"/>
    <x v="2089"/>
  </r>
  <r>
    <x v="7"/>
    <x v="125"/>
    <x v="177"/>
    <x v="2090"/>
  </r>
  <r>
    <x v="16"/>
    <x v="169"/>
    <x v="178"/>
    <x v="2091"/>
  </r>
  <r>
    <x v="0"/>
    <x v="83"/>
    <x v="178"/>
    <x v="2092"/>
  </r>
  <r>
    <x v="0"/>
    <x v="39"/>
    <x v="178"/>
    <x v="2093"/>
  </r>
  <r>
    <x v="18"/>
    <x v="194"/>
    <x v="178"/>
    <x v="2094"/>
  </r>
  <r>
    <x v="9"/>
    <x v="30"/>
    <x v="178"/>
    <x v="2095"/>
  </r>
  <r>
    <x v="12"/>
    <x v="175"/>
    <x v="178"/>
    <x v="2096"/>
  </r>
  <r>
    <x v="6"/>
    <x v="152"/>
    <x v="178"/>
    <x v="2097"/>
  </r>
  <r>
    <x v="7"/>
    <x v="59"/>
    <x v="178"/>
    <x v="2098"/>
  </r>
  <r>
    <x v="7"/>
    <x v="143"/>
    <x v="178"/>
    <x v="2099"/>
  </r>
  <r>
    <x v="7"/>
    <x v="112"/>
    <x v="178"/>
    <x v="2100"/>
  </r>
  <r>
    <x v="7"/>
    <x v="60"/>
    <x v="178"/>
    <x v="2101"/>
  </r>
  <r>
    <x v="0"/>
    <x v="127"/>
    <x v="179"/>
    <x v="2102"/>
  </r>
  <r>
    <x v="0"/>
    <x v="199"/>
    <x v="179"/>
    <x v="2103"/>
  </r>
  <r>
    <x v="1"/>
    <x v="156"/>
    <x v="179"/>
    <x v="2104"/>
  </r>
  <r>
    <x v="8"/>
    <x v="181"/>
    <x v="179"/>
    <x v="2105"/>
  </r>
  <r>
    <x v="4"/>
    <x v="214"/>
    <x v="179"/>
    <x v="2106"/>
  </r>
  <r>
    <x v="12"/>
    <x v="32"/>
    <x v="179"/>
    <x v="2107"/>
  </r>
  <r>
    <x v="5"/>
    <x v="120"/>
    <x v="179"/>
    <x v="2108"/>
  </r>
  <r>
    <x v="5"/>
    <x v="184"/>
    <x v="179"/>
    <x v="2109"/>
  </r>
  <r>
    <x v="6"/>
    <x v="221"/>
    <x v="179"/>
    <x v="2110"/>
  </r>
  <r>
    <x v="6"/>
    <x v="55"/>
    <x v="179"/>
    <x v="2111"/>
  </r>
  <r>
    <x v="6"/>
    <x v="44"/>
    <x v="179"/>
    <x v="2112"/>
  </r>
  <r>
    <x v="7"/>
    <x v="153"/>
    <x v="179"/>
    <x v="2113"/>
  </r>
  <r>
    <x v="7"/>
    <x v="47"/>
    <x v="179"/>
    <x v="2114"/>
  </r>
  <r>
    <x v="7"/>
    <x v="60"/>
    <x v="179"/>
    <x v="2115"/>
  </r>
  <r>
    <x v="0"/>
    <x v="68"/>
    <x v="180"/>
    <x v="2116"/>
  </r>
  <r>
    <x v="0"/>
    <x v="84"/>
    <x v="180"/>
    <x v="2117"/>
  </r>
  <r>
    <x v="18"/>
    <x v="189"/>
    <x v="180"/>
    <x v="2118"/>
  </r>
  <r>
    <x v="1"/>
    <x v="163"/>
    <x v="180"/>
    <x v="2119"/>
  </r>
  <r>
    <x v="8"/>
    <x v="220"/>
    <x v="180"/>
    <x v="2120"/>
  </r>
  <r>
    <x v="5"/>
    <x v="224"/>
    <x v="180"/>
    <x v="2121"/>
  </r>
  <r>
    <x v="5"/>
    <x v="96"/>
    <x v="180"/>
    <x v="2122"/>
  </r>
  <r>
    <x v="6"/>
    <x v="142"/>
    <x v="180"/>
    <x v="2123"/>
  </r>
  <r>
    <x v="6"/>
    <x v="182"/>
    <x v="180"/>
    <x v="2124"/>
  </r>
  <r>
    <x v="6"/>
    <x v="80"/>
    <x v="180"/>
    <x v="2125"/>
  </r>
  <r>
    <x v="7"/>
    <x v="45"/>
    <x v="180"/>
    <x v="2126"/>
  </r>
  <r>
    <x v="9"/>
    <x v="165"/>
    <x v="181"/>
    <x v="2127"/>
  </r>
  <r>
    <x v="9"/>
    <x v="148"/>
    <x v="181"/>
    <x v="2128"/>
  </r>
  <r>
    <x v="5"/>
    <x v="201"/>
    <x v="181"/>
    <x v="2129"/>
  </r>
  <r>
    <x v="5"/>
    <x v="40"/>
    <x v="181"/>
    <x v="2130"/>
  </r>
  <r>
    <x v="5"/>
    <x v="87"/>
    <x v="181"/>
    <x v="2131"/>
  </r>
  <r>
    <x v="6"/>
    <x v="159"/>
    <x v="181"/>
    <x v="2132"/>
  </r>
  <r>
    <x v="6"/>
    <x v="202"/>
    <x v="181"/>
    <x v="2133"/>
  </r>
  <r>
    <x v="7"/>
    <x v="8"/>
    <x v="181"/>
    <x v="2134"/>
  </r>
  <r>
    <x v="7"/>
    <x v="143"/>
    <x v="181"/>
    <x v="2135"/>
  </r>
  <r>
    <x v="7"/>
    <x v="81"/>
    <x v="181"/>
    <x v="2136"/>
  </r>
  <r>
    <x v="0"/>
    <x v="83"/>
    <x v="182"/>
    <x v="2137"/>
  </r>
  <r>
    <x v="14"/>
    <x v="219"/>
    <x v="182"/>
    <x v="2138"/>
  </r>
  <r>
    <x v="5"/>
    <x v="136"/>
    <x v="182"/>
    <x v="2139"/>
  </r>
  <r>
    <x v="7"/>
    <x v="17"/>
    <x v="182"/>
    <x v="2140"/>
  </r>
  <r>
    <x v="7"/>
    <x v="125"/>
    <x v="182"/>
    <x v="2141"/>
  </r>
  <r>
    <x v="7"/>
    <x v="6"/>
    <x v="182"/>
    <x v="2142"/>
  </r>
  <r>
    <x v="16"/>
    <x v="151"/>
    <x v="183"/>
    <x v="2143"/>
  </r>
  <r>
    <x v="0"/>
    <x v="162"/>
    <x v="183"/>
    <x v="2144"/>
  </r>
  <r>
    <x v="0"/>
    <x v="23"/>
    <x v="183"/>
    <x v="2145"/>
  </r>
  <r>
    <x v="0"/>
    <x v="117"/>
    <x v="183"/>
    <x v="504"/>
  </r>
  <r>
    <x v="6"/>
    <x v="159"/>
    <x v="183"/>
    <x v="2146"/>
  </r>
  <r>
    <x v="6"/>
    <x v="89"/>
    <x v="183"/>
    <x v="2147"/>
  </r>
  <r>
    <x v="6"/>
    <x v="225"/>
    <x v="183"/>
    <x v="2148"/>
  </r>
  <r>
    <x v="6"/>
    <x v="43"/>
    <x v="183"/>
    <x v="2149"/>
  </r>
  <r>
    <x v="6"/>
    <x v="98"/>
    <x v="183"/>
    <x v="2150"/>
  </r>
  <r>
    <x v="6"/>
    <x v="152"/>
    <x v="183"/>
    <x v="2151"/>
  </r>
  <r>
    <x v="6"/>
    <x v="36"/>
    <x v="183"/>
    <x v="2152"/>
  </r>
  <r>
    <x v="6"/>
    <x v="44"/>
    <x v="183"/>
    <x v="2153"/>
  </r>
  <r>
    <x v="7"/>
    <x v="59"/>
    <x v="183"/>
    <x v="2154"/>
  </r>
  <r>
    <x v="7"/>
    <x v="153"/>
    <x v="183"/>
    <x v="2155"/>
  </r>
  <r>
    <x v="7"/>
    <x v="49"/>
    <x v="183"/>
    <x v="2156"/>
  </r>
  <r>
    <x v="7"/>
    <x v="161"/>
    <x v="183"/>
    <x v="2157"/>
  </r>
  <r>
    <x v="7"/>
    <x v="61"/>
    <x v="183"/>
    <x v="2158"/>
  </r>
  <r>
    <x v="10"/>
    <x v="222"/>
    <x v="184"/>
    <x v="2159"/>
  </r>
  <r>
    <x v="0"/>
    <x v="116"/>
    <x v="184"/>
    <x v="2160"/>
  </r>
  <r>
    <x v="0"/>
    <x v="126"/>
    <x v="184"/>
    <x v="2161"/>
  </r>
  <r>
    <x v="9"/>
    <x v="185"/>
    <x v="184"/>
    <x v="2162"/>
  </r>
  <r>
    <x v="9"/>
    <x v="157"/>
    <x v="184"/>
    <x v="2163"/>
  </r>
  <r>
    <x v="12"/>
    <x v="175"/>
    <x v="184"/>
    <x v="2164"/>
  </r>
  <r>
    <x v="5"/>
    <x v="184"/>
    <x v="184"/>
    <x v="2165"/>
  </r>
  <r>
    <x v="6"/>
    <x v="168"/>
    <x v="184"/>
    <x v="869"/>
  </r>
  <r>
    <x v="7"/>
    <x v="10"/>
    <x v="184"/>
    <x v="2166"/>
  </r>
  <r>
    <x v="7"/>
    <x v="125"/>
    <x v="184"/>
    <x v="2167"/>
  </r>
  <r>
    <x v="7"/>
    <x v="6"/>
    <x v="184"/>
    <x v="2168"/>
  </r>
  <r>
    <x v="7"/>
    <x v="112"/>
    <x v="184"/>
    <x v="2169"/>
  </r>
  <r>
    <x v="7"/>
    <x v="91"/>
    <x v="184"/>
    <x v="2170"/>
  </r>
  <r>
    <x v="7"/>
    <x v="91"/>
    <x v="184"/>
    <x v="2171"/>
  </r>
  <r>
    <x v="18"/>
    <x v="194"/>
    <x v="185"/>
    <x v="2172"/>
  </r>
  <r>
    <x v="1"/>
    <x v="223"/>
    <x v="185"/>
    <x v="2173"/>
  </r>
  <r>
    <x v="3"/>
    <x v="109"/>
    <x v="185"/>
    <x v="2174"/>
  </r>
  <r>
    <x v="17"/>
    <x v="75"/>
    <x v="185"/>
    <x v="2175"/>
  </r>
  <r>
    <x v="12"/>
    <x v="113"/>
    <x v="185"/>
    <x v="2176"/>
  </r>
  <r>
    <x v="6"/>
    <x v="114"/>
    <x v="185"/>
    <x v="2177"/>
  </r>
  <r>
    <x v="7"/>
    <x v="8"/>
    <x v="185"/>
    <x v="2178"/>
  </r>
  <r>
    <x v="7"/>
    <x v="8"/>
    <x v="185"/>
    <x v="2179"/>
  </r>
  <r>
    <x v="7"/>
    <x v="46"/>
    <x v="185"/>
    <x v="2180"/>
  </r>
  <r>
    <x v="7"/>
    <x v="38"/>
    <x v="185"/>
    <x v="779"/>
  </r>
  <r>
    <x v="7"/>
    <x v="115"/>
    <x v="185"/>
    <x v="2181"/>
  </r>
  <r>
    <x v="7"/>
    <x v="10"/>
    <x v="185"/>
    <x v="2182"/>
  </r>
  <r>
    <x v="7"/>
    <x v="92"/>
    <x v="185"/>
    <x v="2183"/>
  </r>
  <r>
    <x v="0"/>
    <x v="204"/>
    <x v="186"/>
    <x v="2184"/>
  </r>
  <r>
    <x v="0"/>
    <x v="99"/>
    <x v="186"/>
    <x v="2185"/>
  </r>
  <r>
    <x v="3"/>
    <x v="210"/>
    <x v="186"/>
    <x v="170"/>
  </r>
  <r>
    <x v="8"/>
    <x v="164"/>
    <x v="186"/>
    <x v="2186"/>
  </r>
  <r>
    <x v="9"/>
    <x v="67"/>
    <x v="186"/>
    <x v="2187"/>
  </r>
  <r>
    <x v="12"/>
    <x v="236"/>
    <x v="186"/>
    <x v="2188"/>
  </r>
  <r>
    <x v="5"/>
    <x v="106"/>
    <x v="186"/>
    <x v="2189"/>
  </r>
  <r>
    <x v="6"/>
    <x v="142"/>
    <x v="186"/>
    <x v="1242"/>
  </r>
  <r>
    <x v="6"/>
    <x v="44"/>
    <x v="186"/>
    <x v="2190"/>
  </r>
  <r>
    <x v="7"/>
    <x v="6"/>
    <x v="186"/>
    <x v="2191"/>
  </r>
  <r>
    <x v="16"/>
    <x v="178"/>
    <x v="187"/>
    <x v="2192"/>
  </r>
  <r>
    <x v="0"/>
    <x v="28"/>
    <x v="187"/>
    <x v="2193"/>
  </r>
  <r>
    <x v="14"/>
    <x v="200"/>
    <x v="187"/>
    <x v="2194"/>
  </r>
  <r>
    <x v="6"/>
    <x v="182"/>
    <x v="187"/>
    <x v="2195"/>
  </r>
  <r>
    <x v="6"/>
    <x v="182"/>
    <x v="187"/>
    <x v="2196"/>
  </r>
  <r>
    <x v="6"/>
    <x v="114"/>
    <x v="187"/>
    <x v="2197"/>
  </r>
  <r>
    <x v="7"/>
    <x v="82"/>
    <x v="187"/>
    <x v="2198"/>
  </r>
  <r>
    <x v="7"/>
    <x v="39"/>
    <x v="187"/>
    <x v="2199"/>
  </r>
  <r>
    <x v="0"/>
    <x v="207"/>
    <x v="188"/>
    <x v="2200"/>
  </r>
  <r>
    <x v="0"/>
    <x v="190"/>
    <x v="188"/>
    <x v="2201"/>
  </r>
  <r>
    <x v="2"/>
    <x v="129"/>
    <x v="188"/>
    <x v="2202"/>
  </r>
  <r>
    <x v="3"/>
    <x v="3"/>
    <x v="188"/>
    <x v="170"/>
  </r>
  <r>
    <x v="15"/>
    <x v="54"/>
    <x v="188"/>
    <x v="2203"/>
  </r>
  <r>
    <x v="5"/>
    <x v="5"/>
    <x v="188"/>
    <x v="2204"/>
  </r>
  <r>
    <x v="6"/>
    <x v="168"/>
    <x v="188"/>
    <x v="2205"/>
  </r>
  <r>
    <x v="7"/>
    <x v="61"/>
    <x v="188"/>
    <x v="2206"/>
  </r>
  <r>
    <x v="0"/>
    <x v="212"/>
    <x v="189"/>
    <x v="2207"/>
  </r>
  <r>
    <x v="1"/>
    <x v="1"/>
    <x v="189"/>
    <x v="2208"/>
  </r>
  <r>
    <x v="14"/>
    <x v="196"/>
    <x v="189"/>
    <x v="2209"/>
  </r>
  <r>
    <x v="8"/>
    <x v="197"/>
    <x v="189"/>
    <x v="2210"/>
  </r>
  <r>
    <x v="9"/>
    <x v="228"/>
    <x v="189"/>
    <x v="2211"/>
  </r>
  <r>
    <x v="7"/>
    <x v="59"/>
    <x v="189"/>
    <x v="2212"/>
  </r>
  <r>
    <x v="7"/>
    <x v="112"/>
    <x v="189"/>
    <x v="2213"/>
  </r>
  <r>
    <x v="7"/>
    <x v="177"/>
    <x v="189"/>
    <x v="2214"/>
  </r>
  <r>
    <x v="7"/>
    <x v="50"/>
    <x v="189"/>
    <x v="2215"/>
  </r>
  <r>
    <x v="0"/>
    <x v="40"/>
    <x v="190"/>
    <x v="2216"/>
  </r>
  <r>
    <x v="0"/>
    <x v="93"/>
    <x v="190"/>
    <x v="2217"/>
  </r>
  <r>
    <x v="2"/>
    <x v="64"/>
    <x v="190"/>
    <x v="2218"/>
  </r>
  <r>
    <x v="13"/>
    <x v="41"/>
    <x v="190"/>
    <x v="2219"/>
  </r>
  <r>
    <x v="8"/>
    <x v="227"/>
    <x v="190"/>
    <x v="2220"/>
  </r>
  <r>
    <x v="6"/>
    <x v="150"/>
    <x v="190"/>
    <x v="2221"/>
  </r>
  <r>
    <x v="6"/>
    <x v="80"/>
    <x v="190"/>
    <x v="2222"/>
  </r>
  <r>
    <x v="6"/>
    <x v="218"/>
    <x v="190"/>
    <x v="2223"/>
  </r>
  <r>
    <x v="7"/>
    <x v="21"/>
    <x v="190"/>
    <x v="2224"/>
  </r>
  <r>
    <x v="7"/>
    <x v="11"/>
    <x v="190"/>
    <x v="2212"/>
  </r>
  <r>
    <x v="7"/>
    <x v="177"/>
    <x v="190"/>
    <x v="2225"/>
  </r>
  <r>
    <x v="0"/>
    <x v="99"/>
    <x v="191"/>
    <x v="2226"/>
  </r>
  <r>
    <x v="0"/>
    <x v="99"/>
    <x v="191"/>
    <x v="2227"/>
  </r>
  <r>
    <x v="0"/>
    <x v="84"/>
    <x v="191"/>
    <x v="2228"/>
  </r>
  <r>
    <x v="1"/>
    <x v="103"/>
    <x v="191"/>
    <x v="2229"/>
  </r>
  <r>
    <x v="1"/>
    <x v="156"/>
    <x v="191"/>
    <x v="2230"/>
  </r>
  <r>
    <x v="2"/>
    <x v="104"/>
    <x v="191"/>
    <x v="2231"/>
  </r>
  <r>
    <x v="14"/>
    <x v="147"/>
    <x v="191"/>
    <x v="2232"/>
  </r>
  <r>
    <x v="8"/>
    <x v="187"/>
    <x v="191"/>
    <x v="2233"/>
  </r>
  <r>
    <x v="9"/>
    <x v="233"/>
    <x v="191"/>
    <x v="1961"/>
  </r>
  <r>
    <x v="5"/>
    <x v="97"/>
    <x v="191"/>
    <x v="2234"/>
  </r>
  <r>
    <x v="5"/>
    <x v="86"/>
    <x v="191"/>
    <x v="2235"/>
  </r>
  <r>
    <x v="6"/>
    <x v="160"/>
    <x v="191"/>
    <x v="2236"/>
  </r>
  <r>
    <x v="6"/>
    <x v="192"/>
    <x v="191"/>
    <x v="2237"/>
  </r>
  <r>
    <x v="6"/>
    <x v="80"/>
    <x v="191"/>
    <x v="344"/>
  </r>
  <r>
    <x v="7"/>
    <x v="22"/>
    <x v="191"/>
    <x v="2238"/>
  </r>
  <r>
    <x v="7"/>
    <x v="24"/>
    <x v="191"/>
    <x v="2239"/>
  </r>
  <r>
    <x v="7"/>
    <x v="118"/>
    <x v="191"/>
    <x v="2240"/>
  </r>
  <r>
    <x v="0"/>
    <x v="38"/>
    <x v="192"/>
    <x v="2241"/>
  </r>
  <r>
    <x v="0"/>
    <x v="82"/>
    <x v="192"/>
    <x v="2242"/>
  </r>
  <r>
    <x v="6"/>
    <x v="142"/>
    <x v="192"/>
    <x v="2243"/>
  </r>
  <r>
    <x v="6"/>
    <x v="97"/>
    <x v="192"/>
    <x v="2244"/>
  </r>
  <r>
    <x v="6"/>
    <x v="122"/>
    <x v="192"/>
    <x v="2245"/>
  </r>
  <r>
    <x v="6"/>
    <x v="118"/>
    <x v="192"/>
    <x v="2246"/>
  </r>
  <r>
    <x v="7"/>
    <x v="48"/>
    <x v="192"/>
    <x v="2247"/>
  </r>
  <r>
    <x v="7"/>
    <x v="82"/>
    <x v="192"/>
    <x v="2248"/>
  </r>
  <r>
    <x v="7"/>
    <x v="112"/>
    <x v="192"/>
    <x v="2249"/>
  </r>
  <r>
    <x v="0"/>
    <x v="51"/>
    <x v="193"/>
    <x v="2250"/>
  </r>
  <r>
    <x v="5"/>
    <x v="120"/>
    <x v="193"/>
    <x v="2251"/>
  </r>
  <r>
    <x v="19"/>
    <x v="110"/>
    <x v="193"/>
    <x v="2252"/>
  </r>
  <r>
    <x v="6"/>
    <x v="79"/>
    <x v="193"/>
    <x v="2253"/>
  </r>
  <r>
    <x v="6"/>
    <x v="144"/>
    <x v="193"/>
    <x v="2254"/>
  </r>
  <r>
    <x v="6"/>
    <x v="36"/>
    <x v="193"/>
    <x v="2255"/>
  </r>
  <r>
    <x v="7"/>
    <x v="12"/>
    <x v="193"/>
    <x v="2256"/>
  </r>
  <r>
    <x v="7"/>
    <x v="145"/>
    <x v="193"/>
    <x v="2257"/>
  </r>
  <r>
    <x v="7"/>
    <x v="145"/>
    <x v="193"/>
    <x v="2258"/>
  </r>
  <r>
    <x v="7"/>
    <x v="125"/>
    <x v="193"/>
    <x v="2259"/>
  </r>
  <r>
    <x v="7"/>
    <x v="177"/>
    <x v="193"/>
    <x v="2260"/>
  </r>
  <r>
    <x v="18"/>
    <x v="189"/>
    <x v="194"/>
    <x v="2261"/>
  </r>
  <r>
    <x v="1"/>
    <x v="208"/>
    <x v="194"/>
    <x v="170"/>
  </r>
  <r>
    <x v="3"/>
    <x v="132"/>
    <x v="194"/>
    <x v="2262"/>
  </r>
  <r>
    <x v="8"/>
    <x v="133"/>
    <x v="194"/>
    <x v="2263"/>
  </r>
  <r>
    <x v="4"/>
    <x v="139"/>
    <x v="194"/>
    <x v="2264"/>
  </r>
  <r>
    <x v="9"/>
    <x v="174"/>
    <x v="194"/>
    <x v="2265"/>
  </r>
  <r>
    <x v="17"/>
    <x v="149"/>
    <x v="194"/>
    <x v="2266"/>
  </r>
  <r>
    <x v="6"/>
    <x v="90"/>
    <x v="194"/>
    <x v="2267"/>
  </r>
  <r>
    <x v="6"/>
    <x v="121"/>
    <x v="194"/>
    <x v="2268"/>
  </r>
  <r>
    <x v="7"/>
    <x v="11"/>
    <x v="194"/>
    <x v="2269"/>
  </r>
  <r>
    <x v="0"/>
    <x v="101"/>
    <x v="195"/>
    <x v="2270"/>
  </r>
  <r>
    <x v="2"/>
    <x v="2"/>
    <x v="195"/>
    <x v="2271"/>
  </r>
  <r>
    <x v="14"/>
    <x v="105"/>
    <x v="195"/>
    <x v="2272"/>
  </r>
  <r>
    <x v="3"/>
    <x v="131"/>
    <x v="195"/>
    <x v="2273"/>
  </r>
  <r>
    <x v="12"/>
    <x v="32"/>
    <x v="195"/>
    <x v="2274"/>
  </r>
  <r>
    <x v="5"/>
    <x v="141"/>
    <x v="195"/>
    <x v="2275"/>
  </r>
  <r>
    <x v="5"/>
    <x v="137"/>
    <x v="195"/>
    <x v="2276"/>
  </r>
  <r>
    <x v="6"/>
    <x v="7"/>
    <x v="195"/>
    <x v="2277"/>
  </r>
  <r>
    <x v="6"/>
    <x v="126"/>
    <x v="195"/>
    <x v="2278"/>
  </r>
  <r>
    <x v="7"/>
    <x v="9"/>
    <x v="195"/>
    <x v="2279"/>
  </r>
  <r>
    <x v="7"/>
    <x v="124"/>
    <x v="195"/>
    <x v="2280"/>
  </r>
  <r>
    <x v="7"/>
    <x v="49"/>
    <x v="195"/>
    <x v="2281"/>
  </r>
  <r>
    <x v="7"/>
    <x v="145"/>
    <x v="195"/>
    <x v="2282"/>
  </r>
  <r>
    <x v="7"/>
    <x v="11"/>
    <x v="195"/>
    <x v="2283"/>
  </r>
  <r>
    <x v="7"/>
    <x v="24"/>
    <x v="195"/>
    <x v="2284"/>
  </r>
  <r>
    <x v="7"/>
    <x v="60"/>
    <x v="195"/>
    <x v="2285"/>
  </r>
  <r>
    <x v="7"/>
    <x v="50"/>
    <x v="195"/>
    <x v="2286"/>
  </r>
  <r>
    <x v="7"/>
    <x v="50"/>
    <x v="195"/>
    <x v="2287"/>
  </r>
  <r>
    <x v="16"/>
    <x v="169"/>
    <x v="196"/>
    <x v="2288"/>
  </r>
  <r>
    <x v="0"/>
    <x v="172"/>
    <x v="196"/>
    <x v="2289"/>
  </r>
  <r>
    <x v="0"/>
    <x v="179"/>
    <x v="196"/>
    <x v="2290"/>
  </r>
  <r>
    <x v="0"/>
    <x v="199"/>
    <x v="196"/>
    <x v="2291"/>
  </r>
  <r>
    <x v="2"/>
    <x v="13"/>
    <x v="196"/>
    <x v="2292"/>
  </r>
  <r>
    <x v="14"/>
    <x v="108"/>
    <x v="196"/>
    <x v="1874"/>
  </r>
  <r>
    <x v="8"/>
    <x v="85"/>
    <x v="196"/>
    <x v="2293"/>
  </r>
  <r>
    <x v="5"/>
    <x v="79"/>
    <x v="196"/>
    <x v="2294"/>
  </r>
  <r>
    <x v="6"/>
    <x v="42"/>
    <x v="196"/>
    <x v="378"/>
  </r>
  <r>
    <x v="6"/>
    <x v="42"/>
    <x v="196"/>
    <x v="2295"/>
  </r>
  <r>
    <x v="6"/>
    <x v="35"/>
    <x v="196"/>
    <x v="2296"/>
  </r>
  <r>
    <x v="7"/>
    <x v="143"/>
    <x v="196"/>
    <x v="2297"/>
  </r>
  <r>
    <x v="7"/>
    <x v="9"/>
    <x v="196"/>
    <x v="2298"/>
  </r>
  <r>
    <x v="7"/>
    <x v="21"/>
    <x v="196"/>
    <x v="2299"/>
  </r>
  <r>
    <x v="7"/>
    <x v="11"/>
    <x v="196"/>
    <x v="2300"/>
  </r>
  <r>
    <x v="7"/>
    <x v="25"/>
    <x v="196"/>
    <x v="2301"/>
  </r>
  <r>
    <x v="1"/>
    <x v="128"/>
    <x v="197"/>
    <x v="2302"/>
  </r>
  <r>
    <x v="9"/>
    <x v="215"/>
    <x v="197"/>
    <x v="2303"/>
  </r>
  <r>
    <x v="5"/>
    <x v="90"/>
    <x v="197"/>
    <x v="2304"/>
  </r>
  <r>
    <x v="5"/>
    <x v="176"/>
    <x v="197"/>
    <x v="2305"/>
  </r>
  <r>
    <x v="7"/>
    <x v="12"/>
    <x v="197"/>
    <x v="2306"/>
  </r>
  <r>
    <x v="7"/>
    <x v="46"/>
    <x v="197"/>
    <x v="2307"/>
  </r>
  <r>
    <x v="7"/>
    <x v="124"/>
    <x v="197"/>
    <x v="2308"/>
  </r>
  <r>
    <x v="7"/>
    <x v="71"/>
    <x v="197"/>
    <x v="2309"/>
  </r>
  <r>
    <x v="7"/>
    <x v="161"/>
    <x v="197"/>
    <x v="2310"/>
  </r>
  <r>
    <x v="7"/>
    <x v="39"/>
    <x v="197"/>
    <x v="91"/>
  </r>
  <r>
    <x v="7"/>
    <x v="177"/>
    <x v="197"/>
    <x v="2311"/>
  </r>
  <r>
    <x v="0"/>
    <x v="162"/>
    <x v="198"/>
    <x v="978"/>
  </r>
  <r>
    <x v="0"/>
    <x v="83"/>
    <x v="198"/>
    <x v="2312"/>
  </r>
  <r>
    <x v="3"/>
    <x v="158"/>
    <x v="198"/>
    <x v="170"/>
  </r>
  <r>
    <x v="8"/>
    <x v="198"/>
    <x v="198"/>
    <x v="2313"/>
  </r>
  <r>
    <x v="9"/>
    <x v="15"/>
    <x v="198"/>
    <x v="2314"/>
  </r>
  <r>
    <x v="6"/>
    <x v="123"/>
    <x v="198"/>
    <x v="2315"/>
  </r>
  <r>
    <x v="6"/>
    <x v="183"/>
    <x v="198"/>
    <x v="2316"/>
  </r>
  <r>
    <x v="7"/>
    <x v="7"/>
    <x v="198"/>
    <x v="2317"/>
  </r>
  <r>
    <x v="7"/>
    <x v="58"/>
    <x v="198"/>
    <x v="2318"/>
  </r>
  <r>
    <x v="7"/>
    <x v="20"/>
    <x v="198"/>
    <x v="2319"/>
  </r>
  <r>
    <x v="7"/>
    <x v="20"/>
    <x v="198"/>
    <x v="2320"/>
  </r>
  <r>
    <x v="7"/>
    <x v="6"/>
    <x v="198"/>
    <x v="2321"/>
  </r>
  <r>
    <x v="7"/>
    <x v="161"/>
    <x v="198"/>
    <x v="2322"/>
  </r>
  <r>
    <x v="7"/>
    <x v="69"/>
    <x v="198"/>
    <x v="2323"/>
  </r>
  <r>
    <x v="7"/>
    <x v="25"/>
    <x v="198"/>
    <x v="2324"/>
  </r>
  <r>
    <x v="10"/>
    <x v="26"/>
    <x v="199"/>
    <x v="134"/>
  </r>
  <r>
    <x v="16"/>
    <x v="154"/>
    <x v="199"/>
    <x v="2325"/>
  </r>
  <r>
    <x v="0"/>
    <x v="83"/>
    <x v="199"/>
    <x v="2326"/>
  </r>
  <r>
    <x v="18"/>
    <x v="107"/>
    <x v="199"/>
    <x v="2327"/>
  </r>
  <r>
    <x v="8"/>
    <x v="65"/>
    <x v="199"/>
    <x v="2328"/>
  </r>
  <r>
    <x v="12"/>
    <x v="180"/>
    <x v="199"/>
    <x v="2329"/>
  </r>
  <r>
    <x v="5"/>
    <x v="68"/>
    <x v="199"/>
    <x v="2330"/>
  </r>
  <r>
    <x v="5"/>
    <x v="166"/>
    <x v="199"/>
    <x v="1051"/>
  </r>
  <r>
    <x v="6"/>
    <x v="44"/>
    <x v="199"/>
    <x v="2331"/>
  </r>
  <r>
    <x v="7"/>
    <x v="22"/>
    <x v="199"/>
    <x v="2332"/>
  </r>
  <r>
    <x v="7"/>
    <x v="82"/>
    <x v="199"/>
    <x v="2333"/>
  </r>
  <r>
    <x v="16"/>
    <x v="155"/>
    <x v="200"/>
    <x v="2334"/>
  </r>
  <r>
    <x v="0"/>
    <x v="193"/>
    <x v="200"/>
    <x v="2335"/>
  </r>
  <r>
    <x v="0"/>
    <x v="11"/>
    <x v="200"/>
    <x v="2336"/>
  </r>
  <r>
    <x v="1"/>
    <x v="62"/>
    <x v="200"/>
    <x v="2337"/>
  </r>
  <r>
    <x v="1"/>
    <x v="173"/>
    <x v="200"/>
    <x v="2338"/>
  </r>
  <r>
    <x v="8"/>
    <x v="66"/>
    <x v="200"/>
    <x v="2339"/>
  </r>
  <r>
    <x v="6"/>
    <x v="122"/>
    <x v="200"/>
    <x v="2340"/>
  </r>
  <r>
    <x v="7"/>
    <x v="45"/>
    <x v="200"/>
    <x v="2341"/>
  </r>
  <r>
    <x v="7"/>
    <x v="92"/>
    <x v="200"/>
    <x v="2342"/>
  </r>
  <r>
    <x v="7"/>
    <x v="112"/>
    <x v="200"/>
    <x v="2343"/>
  </r>
  <r>
    <x v="7"/>
    <x v="39"/>
    <x v="200"/>
    <x v="2344"/>
  </r>
  <r>
    <x v="7"/>
    <x v="60"/>
    <x v="200"/>
    <x v="2345"/>
  </r>
  <r>
    <x v="0"/>
    <x v="230"/>
    <x v="201"/>
    <x v="758"/>
  </r>
  <r>
    <x v="0"/>
    <x v="9"/>
    <x v="201"/>
    <x v="2346"/>
  </r>
  <r>
    <x v="0"/>
    <x v="206"/>
    <x v="201"/>
    <x v="2347"/>
  </r>
  <r>
    <x v="1"/>
    <x v="229"/>
    <x v="201"/>
    <x v="2348"/>
  </r>
  <r>
    <x v="14"/>
    <x v="209"/>
    <x v="201"/>
    <x v="2349"/>
  </r>
  <r>
    <x v="8"/>
    <x v="134"/>
    <x v="201"/>
    <x v="2350"/>
  </r>
  <r>
    <x v="8"/>
    <x v="181"/>
    <x v="201"/>
    <x v="2351"/>
  </r>
  <r>
    <x v="8"/>
    <x v="228"/>
    <x v="201"/>
    <x v="2352"/>
  </r>
  <r>
    <x v="17"/>
    <x v="76"/>
    <x v="201"/>
    <x v="2353"/>
  </r>
  <r>
    <x v="12"/>
    <x v="77"/>
    <x v="201"/>
    <x v="170"/>
  </r>
  <r>
    <x v="5"/>
    <x v="33"/>
    <x v="201"/>
    <x v="2354"/>
  </r>
  <r>
    <x v="6"/>
    <x v="44"/>
    <x v="201"/>
    <x v="2355"/>
  </r>
  <r>
    <x v="7"/>
    <x v="124"/>
    <x v="201"/>
    <x v="2356"/>
  </r>
  <r>
    <x v="7"/>
    <x v="38"/>
    <x v="201"/>
    <x v="2357"/>
  </r>
  <r>
    <x v="7"/>
    <x v="115"/>
    <x v="201"/>
    <x v="2358"/>
  </r>
  <r>
    <x v="7"/>
    <x v="24"/>
    <x v="201"/>
    <x v="1026"/>
  </r>
  <r>
    <x v="18"/>
    <x v="102"/>
    <x v="202"/>
    <x v="2359"/>
  </r>
  <r>
    <x v="14"/>
    <x v="53"/>
    <x v="202"/>
    <x v="2360"/>
  </r>
  <r>
    <x v="4"/>
    <x v="4"/>
    <x v="202"/>
    <x v="2361"/>
  </r>
  <r>
    <x v="5"/>
    <x v="221"/>
    <x v="202"/>
    <x v="2362"/>
  </r>
  <r>
    <x v="6"/>
    <x v="123"/>
    <x v="202"/>
    <x v="2363"/>
  </r>
  <r>
    <x v="6"/>
    <x v="144"/>
    <x v="202"/>
    <x v="2364"/>
  </r>
  <r>
    <x v="7"/>
    <x v="58"/>
    <x v="202"/>
    <x v="2365"/>
  </r>
  <r>
    <x v="7"/>
    <x v="126"/>
    <x v="202"/>
    <x v="2366"/>
  </r>
  <r>
    <x v="7"/>
    <x v="177"/>
    <x v="202"/>
    <x v="2367"/>
  </r>
  <r>
    <x v="16"/>
    <x v="188"/>
    <x v="203"/>
    <x v="2368"/>
  </r>
  <r>
    <x v="2"/>
    <x v="146"/>
    <x v="203"/>
    <x v="2369"/>
  </r>
  <r>
    <x v="2"/>
    <x v="226"/>
    <x v="203"/>
    <x v="170"/>
  </r>
  <r>
    <x v="9"/>
    <x v="211"/>
    <x v="203"/>
    <x v="2370"/>
  </r>
  <r>
    <x v="6"/>
    <x v="111"/>
    <x v="203"/>
    <x v="2371"/>
  </r>
  <r>
    <x v="6"/>
    <x v="57"/>
    <x v="203"/>
    <x v="2372"/>
  </r>
  <r>
    <x v="7"/>
    <x v="160"/>
    <x v="203"/>
    <x v="2373"/>
  </r>
  <r>
    <x v="7"/>
    <x v="213"/>
    <x v="203"/>
    <x v="2374"/>
  </r>
  <r>
    <x v="7"/>
    <x v="115"/>
    <x v="203"/>
    <x v="2375"/>
  </r>
  <r>
    <x v="0"/>
    <x v="205"/>
    <x v="204"/>
    <x v="2376"/>
  </r>
  <r>
    <x v="0"/>
    <x v="18"/>
    <x v="204"/>
    <x v="2377"/>
  </r>
  <r>
    <x v="14"/>
    <x v="232"/>
    <x v="204"/>
    <x v="2378"/>
  </r>
  <r>
    <x v="4"/>
    <x v="214"/>
    <x v="204"/>
    <x v="2379"/>
  </r>
  <r>
    <x v="9"/>
    <x v="217"/>
    <x v="204"/>
    <x v="2380"/>
  </r>
  <r>
    <x v="5"/>
    <x v="191"/>
    <x v="204"/>
    <x v="2381"/>
  </r>
  <r>
    <x v="5"/>
    <x v="96"/>
    <x v="204"/>
    <x v="2382"/>
  </r>
  <r>
    <x v="7"/>
    <x v="17"/>
    <x v="204"/>
    <x v="2383"/>
  </r>
  <r>
    <x v="7"/>
    <x v="213"/>
    <x v="204"/>
    <x v="1252"/>
  </r>
  <r>
    <x v="7"/>
    <x v="47"/>
    <x v="204"/>
    <x v="2384"/>
  </r>
  <r>
    <x v="7"/>
    <x v="23"/>
    <x v="204"/>
    <x v="2385"/>
  </r>
  <r>
    <x v="7"/>
    <x v="60"/>
    <x v="204"/>
    <x v="2386"/>
  </r>
  <r>
    <x v="0"/>
    <x v="230"/>
    <x v="205"/>
    <x v="2387"/>
  </r>
  <r>
    <x v="2"/>
    <x v="170"/>
    <x v="205"/>
    <x v="2388"/>
  </r>
  <r>
    <x v="8"/>
    <x v="220"/>
    <x v="205"/>
    <x v="2389"/>
  </r>
  <r>
    <x v="4"/>
    <x v="234"/>
    <x v="205"/>
    <x v="2390"/>
  </r>
  <r>
    <x v="9"/>
    <x v="30"/>
    <x v="205"/>
    <x v="2391"/>
  </r>
  <r>
    <x v="6"/>
    <x v="55"/>
    <x v="205"/>
    <x v="2392"/>
  </r>
  <r>
    <x v="6"/>
    <x v="68"/>
    <x v="205"/>
    <x v="2393"/>
  </r>
  <r>
    <x v="6"/>
    <x v="121"/>
    <x v="205"/>
    <x v="1795"/>
  </r>
  <r>
    <x v="7"/>
    <x v="45"/>
    <x v="205"/>
    <x v="2394"/>
  </r>
  <r>
    <x v="7"/>
    <x v="145"/>
    <x v="205"/>
    <x v="2395"/>
  </r>
  <r>
    <x v="7"/>
    <x v="71"/>
    <x v="205"/>
    <x v="2396"/>
  </r>
  <r>
    <x v="7"/>
    <x v="24"/>
    <x v="205"/>
    <x v="2397"/>
  </r>
  <r>
    <x v="11"/>
    <x v="27"/>
    <x v="206"/>
    <x v="170"/>
  </r>
  <r>
    <x v="0"/>
    <x v="7"/>
    <x v="206"/>
    <x v="2398"/>
  </r>
  <r>
    <x v="0"/>
    <x v="20"/>
    <x v="206"/>
    <x v="2399"/>
  </r>
  <r>
    <x v="0"/>
    <x v="127"/>
    <x v="206"/>
    <x v="2400"/>
  </r>
  <r>
    <x v="0"/>
    <x v="72"/>
    <x v="206"/>
    <x v="2401"/>
  </r>
  <r>
    <x v="14"/>
    <x v="130"/>
    <x v="206"/>
    <x v="170"/>
  </r>
  <r>
    <x v="8"/>
    <x v="73"/>
    <x v="206"/>
    <x v="2402"/>
  </r>
  <r>
    <x v="9"/>
    <x v="140"/>
    <x v="206"/>
    <x v="2403"/>
  </r>
  <r>
    <x v="12"/>
    <x v="94"/>
    <x v="206"/>
    <x v="2404"/>
  </r>
  <r>
    <x v="5"/>
    <x v="212"/>
    <x v="206"/>
    <x v="2405"/>
  </r>
  <r>
    <x v="7"/>
    <x v="59"/>
    <x v="206"/>
    <x v="2406"/>
  </r>
  <r>
    <x v="7"/>
    <x v="46"/>
    <x v="206"/>
    <x v="2407"/>
  </r>
  <r>
    <x v="7"/>
    <x v="37"/>
    <x v="206"/>
    <x v="2408"/>
  </r>
  <r>
    <x v="7"/>
    <x v="145"/>
    <x v="206"/>
    <x v="2409"/>
  </r>
  <r>
    <x v="7"/>
    <x v="70"/>
    <x v="206"/>
    <x v="2410"/>
  </r>
  <r>
    <x v="7"/>
    <x v="61"/>
    <x v="206"/>
    <x v="2411"/>
  </r>
  <r>
    <x v="16"/>
    <x v="138"/>
    <x v="207"/>
    <x v="170"/>
  </r>
  <r>
    <x v="0"/>
    <x v="63"/>
    <x v="207"/>
    <x v="2412"/>
  </r>
  <r>
    <x v="0"/>
    <x v="100"/>
    <x v="207"/>
    <x v="2413"/>
  </r>
  <r>
    <x v="0"/>
    <x v="235"/>
    <x v="207"/>
    <x v="2414"/>
  </r>
  <r>
    <x v="8"/>
    <x v="14"/>
    <x v="207"/>
    <x v="1690"/>
  </r>
  <r>
    <x v="9"/>
    <x v="31"/>
    <x v="207"/>
    <x v="2415"/>
  </r>
  <r>
    <x v="6"/>
    <x v="55"/>
    <x v="207"/>
    <x v="2416"/>
  </r>
  <r>
    <x v="7"/>
    <x v="17"/>
    <x v="207"/>
    <x v="2417"/>
  </r>
  <r>
    <x v="7"/>
    <x v="70"/>
    <x v="207"/>
    <x v="2418"/>
  </r>
  <r>
    <x v="7"/>
    <x v="10"/>
    <x v="207"/>
    <x v="2419"/>
  </r>
  <r>
    <x v="0"/>
    <x v="0"/>
    <x v="208"/>
    <x v="2420"/>
  </r>
  <r>
    <x v="0"/>
    <x v="190"/>
    <x v="208"/>
    <x v="2421"/>
  </r>
  <r>
    <x v="0"/>
    <x v="39"/>
    <x v="208"/>
    <x v="2422"/>
  </r>
  <r>
    <x v="1"/>
    <x v="163"/>
    <x v="208"/>
    <x v="2423"/>
  </r>
  <r>
    <x v="5"/>
    <x v="34"/>
    <x v="208"/>
    <x v="2424"/>
  </r>
  <r>
    <x v="5"/>
    <x v="88"/>
    <x v="208"/>
    <x v="2425"/>
  </r>
  <r>
    <x v="6"/>
    <x v="159"/>
    <x v="208"/>
    <x v="2426"/>
  </r>
  <r>
    <x v="6"/>
    <x v="56"/>
    <x v="208"/>
    <x v="2427"/>
  </r>
  <r>
    <x v="6"/>
    <x v="203"/>
    <x v="208"/>
    <x v="2428"/>
  </r>
  <r>
    <x v="6"/>
    <x v="167"/>
    <x v="208"/>
    <x v="2429"/>
  </r>
  <r>
    <x v="6"/>
    <x v="152"/>
    <x v="208"/>
    <x v="2430"/>
  </r>
  <r>
    <x v="7"/>
    <x v="19"/>
    <x v="208"/>
    <x v="2431"/>
  </r>
  <r>
    <x v="7"/>
    <x v="49"/>
    <x v="208"/>
    <x v="2432"/>
  </r>
  <r>
    <x v="7"/>
    <x v="22"/>
    <x v="208"/>
    <x v="2433"/>
  </r>
  <r>
    <x v="7"/>
    <x v="6"/>
    <x v="208"/>
    <x v="2434"/>
  </r>
  <r>
    <x v="7"/>
    <x v="24"/>
    <x v="208"/>
    <x v="2435"/>
  </r>
  <r>
    <x v="7"/>
    <x v="81"/>
    <x v="208"/>
    <x v="2436"/>
  </r>
  <r>
    <x v="16"/>
    <x v="171"/>
    <x v="209"/>
    <x v="2437"/>
  </r>
  <r>
    <x v="0"/>
    <x v="230"/>
    <x v="209"/>
    <x v="2438"/>
  </r>
  <r>
    <x v="0"/>
    <x v="44"/>
    <x v="209"/>
    <x v="2439"/>
  </r>
  <r>
    <x v="18"/>
    <x v="195"/>
    <x v="209"/>
    <x v="2440"/>
  </r>
  <r>
    <x v="14"/>
    <x v="119"/>
    <x v="209"/>
    <x v="2441"/>
  </r>
  <r>
    <x v="9"/>
    <x v="135"/>
    <x v="209"/>
    <x v="2442"/>
  </r>
  <r>
    <x v="6"/>
    <x v="80"/>
    <x v="209"/>
    <x v="2443"/>
  </r>
  <r>
    <x v="7"/>
    <x v="71"/>
    <x v="209"/>
    <x v="2444"/>
  </r>
  <r>
    <x v="0"/>
    <x v="84"/>
    <x v="210"/>
    <x v="2445"/>
  </r>
  <r>
    <x v="1"/>
    <x v="231"/>
    <x v="210"/>
    <x v="2446"/>
  </r>
  <r>
    <x v="8"/>
    <x v="29"/>
    <x v="210"/>
    <x v="2447"/>
  </r>
  <r>
    <x v="15"/>
    <x v="74"/>
    <x v="210"/>
    <x v="2448"/>
  </r>
  <r>
    <x v="12"/>
    <x v="95"/>
    <x v="210"/>
    <x v="2449"/>
  </r>
  <r>
    <x v="5"/>
    <x v="221"/>
    <x v="210"/>
    <x v="2450"/>
  </r>
  <r>
    <x v="5"/>
    <x v="224"/>
    <x v="210"/>
    <x v="2451"/>
  </r>
  <r>
    <x v="6"/>
    <x v="159"/>
    <x v="210"/>
    <x v="2452"/>
  </r>
  <r>
    <x v="6"/>
    <x v="89"/>
    <x v="210"/>
    <x v="793"/>
  </r>
  <r>
    <x v="6"/>
    <x v="111"/>
    <x v="210"/>
    <x v="2453"/>
  </r>
  <r>
    <x v="6"/>
    <x v="203"/>
    <x v="210"/>
    <x v="2454"/>
  </r>
  <r>
    <x v="6"/>
    <x v="183"/>
    <x v="210"/>
    <x v="2455"/>
  </r>
  <r>
    <x v="7"/>
    <x v="19"/>
    <x v="210"/>
    <x v="2456"/>
  </r>
  <r>
    <x v="7"/>
    <x v="45"/>
    <x v="210"/>
    <x v="2457"/>
  </r>
  <r>
    <x v="7"/>
    <x v="12"/>
    <x v="210"/>
    <x v="2458"/>
  </r>
  <r>
    <x v="7"/>
    <x v="38"/>
    <x v="210"/>
    <x v="2459"/>
  </r>
  <r>
    <x v="7"/>
    <x v="82"/>
    <x v="210"/>
    <x v="2460"/>
  </r>
  <r>
    <x v="1"/>
    <x v="52"/>
    <x v="211"/>
    <x v="2461"/>
  </r>
  <r>
    <x v="1"/>
    <x v="216"/>
    <x v="211"/>
    <x v="2462"/>
  </r>
  <r>
    <x v="9"/>
    <x v="186"/>
    <x v="211"/>
    <x v="2463"/>
  </r>
  <r>
    <x v="9"/>
    <x v="16"/>
    <x v="211"/>
    <x v="2464"/>
  </r>
  <r>
    <x v="5"/>
    <x v="78"/>
    <x v="211"/>
    <x v="2465"/>
  </r>
  <r>
    <x v="6"/>
    <x v="114"/>
    <x v="211"/>
    <x v="2466"/>
  </r>
  <r>
    <x v="7"/>
    <x v="8"/>
    <x v="211"/>
    <x v="2467"/>
  </r>
  <r>
    <x v="7"/>
    <x v="143"/>
    <x v="211"/>
    <x v="2468"/>
  </r>
  <r>
    <x v="7"/>
    <x v="70"/>
    <x v="211"/>
    <x v="2469"/>
  </r>
  <r>
    <x v="7"/>
    <x v="112"/>
    <x v="211"/>
    <x v="2470"/>
  </r>
  <r>
    <x v="7"/>
    <x v="25"/>
    <x v="211"/>
    <x v="2471"/>
  </r>
  <r>
    <x v="2"/>
    <x v="2"/>
    <x v="212"/>
    <x v="2472"/>
  </r>
  <r>
    <x v="14"/>
    <x v="53"/>
    <x v="212"/>
    <x v="1826"/>
  </r>
  <r>
    <x v="9"/>
    <x v="67"/>
    <x v="212"/>
    <x v="2473"/>
  </r>
  <r>
    <x v="6"/>
    <x v="6"/>
    <x v="212"/>
    <x v="2474"/>
  </r>
  <r>
    <x v="6"/>
    <x v="57"/>
    <x v="212"/>
    <x v="2475"/>
  </r>
  <r>
    <x v="6"/>
    <x v="91"/>
    <x v="212"/>
    <x v="2476"/>
  </r>
  <r>
    <x v="7"/>
    <x v="45"/>
    <x v="212"/>
    <x v="2477"/>
  </r>
  <r>
    <x v="7"/>
    <x v="48"/>
    <x v="212"/>
    <x v="79"/>
  </r>
  <r>
    <x v="7"/>
    <x v="49"/>
    <x v="212"/>
    <x v="2478"/>
  </r>
  <r>
    <x v="7"/>
    <x v="82"/>
    <x v="212"/>
    <x v="1463"/>
  </r>
  <r>
    <x v="7"/>
    <x v="39"/>
    <x v="212"/>
    <x v="2479"/>
  </r>
  <r>
    <x v="0"/>
    <x v="143"/>
    <x v="213"/>
    <x v="2480"/>
  </r>
  <r>
    <x v="0"/>
    <x v="101"/>
    <x v="213"/>
    <x v="2481"/>
  </r>
  <r>
    <x v="0"/>
    <x v="83"/>
    <x v="213"/>
    <x v="2482"/>
  </r>
  <r>
    <x v="14"/>
    <x v="196"/>
    <x v="213"/>
    <x v="2483"/>
  </r>
  <r>
    <x v="9"/>
    <x v="157"/>
    <x v="213"/>
    <x v="2484"/>
  </r>
  <r>
    <x v="5"/>
    <x v="191"/>
    <x v="213"/>
    <x v="2485"/>
  </r>
  <r>
    <x v="6"/>
    <x v="42"/>
    <x v="213"/>
    <x v="2486"/>
  </r>
  <r>
    <x v="6"/>
    <x v="12"/>
    <x v="213"/>
    <x v="2487"/>
  </r>
  <r>
    <x v="6"/>
    <x v="115"/>
    <x v="213"/>
    <x v="2488"/>
  </r>
  <r>
    <x v="7"/>
    <x v="17"/>
    <x v="213"/>
    <x v="2489"/>
  </r>
  <r>
    <x v="7"/>
    <x v="47"/>
    <x v="213"/>
    <x v="2490"/>
  </r>
  <r>
    <x v="7"/>
    <x v="22"/>
    <x v="213"/>
    <x v="2491"/>
  </r>
  <r>
    <x v="16"/>
    <x v="178"/>
    <x v="214"/>
    <x v="2492"/>
  </r>
  <r>
    <x v="0"/>
    <x v="172"/>
    <x v="214"/>
    <x v="2493"/>
  </r>
  <r>
    <x v="14"/>
    <x v="219"/>
    <x v="214"/>
    <x v="170"/>
  </r>
  <r>
    <x v="8"/>
    <x v="220"/>
    <x v="214"/>
    <x v="2494"/>
  </r>
  <r>
    <x v="4"/>
    <x v="234"/>
    <x v="214"/>
    <x v="2495"/>
  </r>
  <r>
    <x v="9"/>
    <x v="217"/>
    <x v="214"/>
    <x v="2496"/>
  </r>
  <r>
    <x v="6"/>
    <x v="192"/>
    <x v="214"/>
    <x v="2497"/>
  </r>
  <r>
    <x v="6"/>
    <x v="225"/>
    <x v="214"/>
    <x v="2498"/>
  </r>
  <r>
    <x v="6"/>
    <x v="55"/>
    <x v="214"/>
    <x v="2499"/>
  </r>
  <r>
    <x v="7"/>
    <x v="212"/>
    <x v="214"/>
    <x v="2500"/>
  </r>
  <r>
    <x v="7"/>
    <x v="20"/>
    <x v="214"/>
    <x v="2501"/>
  </r>
  <r>
    <x v="7"/>
    <x v="126"/>
    <x v="214"/>
    <x v="2502"/>
  </r>
  <r>
    <x v="7"/>
    <x v="60"/>
    <x v="214"/>
    <x v="2503"/>
  </r>
  <r>
    <x v="18"/>
    <x v="4"/>
    <x v="215"/>
    <x v="170"/>
  </r>
  <r>
    <x v="1"/>
    <x v="52"/>
    <x v="215"/>
    <x v="170"/>
  </r>
  <r>
    <x v="14"/>
    <x v="232"/>
    <x v="215"/>
    <x v="2504"/>
  </r>
  <r>
    <x v="5"/>
    <x v="120"/>
    <x v="215"/>
    <x v="2505"/>
  </r>
  <r>
    <x v="6"/>
    <x v="160"/>
    <x v="215"/>
    <x v="2506"/>
  </r>
  <r>
    <x v="6"/>
    <x v="225"/>
    <x v="215"/>
    <x v="2507"/>
  </r>
  <r>
    <x v="0"/>
    <x v="116"/>
    <x v="216"/>
    <x v="2508"/>
  </r>
  <r>
    <x v="0"/>
    <x v="80"/>
    <x v="216"/>
    <x v="2509"/>
  </r>
  <r>
    <x v="18"/>
    <x v="194"/>
    <x v="216"/>
    <x v="2510"/>
  </r>
  <r>
    <x v="8"/>
    <x v="228"/>
    <x v="216"/>
    <x v="2511"/>
  </r>
  <r>
    <x v="6"/>
    <x v="225"/>
    <x v="216"/>
    <x v="2512"/>
  </r>
  <r>
    <x v="6"/>
    <x v="42"/>
    <x v="216"/>
    <x v="2513"/>
  </r>
  <r>
    <x v="6"/>
    <x v="111"/>
    <x v="216"/>
    <x v="1490"/>
  </r>
  <r>
    <x v="7"/>
    <x v="17"/>
    <x v="216"/>
    <x v="2514"/>
  </r>
  <r>
    <x v="7"/>
    <x v="48"/>
    <x v="216"/>
    <x v="2515"/>
  </r>
  <r>
    <x v="7"/>
    <x v="49"/>
    <x v="216"/>
    <x v="2516"/>
  </r>
  <r>
    <x v="7"/>
    <x v="161"/>
    <x v="216"/>
    <x v="2517"/>
  </r>
  <r>
    <x v="7"/>
    <x v="24"/>
    <x v="216"/>
    <x v="2518"/>
  </r>
  <r>
    <x v="7"/>
    <x v="50"/>
    <x v="216"/>
    <x v="2519"/>
  </r>
  <r>
    <x v="0"/>
    <x v="40"/>
    <x v="217"/>
    <x v="2520"/>
  </r>
  <r>
    <x v="1"/>
    <x v="62"/>
    <x v="217"/>
    <x v="2521"/>
  </r>
  <r>
    <x v="9"/>
    <x v="140"/>
    <x v="217"/>
    <x v="2522"/>
  </r>
  <r>
    <x v="9"/>
    <x v="18"/>
    <x v="217"/>
    <x v="2523"/>
  </r>
  <r>
    <x v="9"/>
    <x v="31"/>
    <x v="217"/>
    <x v="2524"/>
  </r>
  <r>
    <x v="5"/>
    <x v="90"/>
    <x v="217"/>
    <x v="2525"/>
  </r>
  <r>
    <x v="7"/>
    <x v="12"/>
    <x v="217"/>
    <x v="2526"/>
  </r>
  <r>
    <x v="7"/>
    <x v="37"/>
    <x v="217"/>
    <x v="2527"/>
  </r>
  <r>
    <x v="7"/>
    <x v="48"/>
    <x v="217"/>
    <x v="2528"/>
  </r>
  <r>
    <x v="7"/>
    <x v="71"/>
    <x v="217"/>
    <x v="2529"/>
  </r>
  <r>
    <x v="7"/>
    <x v="60"/>
    <x v="217"/>
    <x v="2530"/>
  </r>
  <r>
    <x v="0"/>
    <x v="199"/>
    <x v="218"/>
    <x v="2531"/>
  </r>
  <r>
    <x v="0"/>
    <x v="190"/>
    <x v="218"/>
    <x v="2532"/>
  </r>
  <r>
    <x v="5"/>
    <x v="201"/>
    <x v="218"/>
    <x v="2533"/>
  </r>
  <r>
    <x v="6"/>
    <x v="183"/>
    <x v="218"/>
    <x v="2156"/>
  </r>
  <r>
    <x v="7"/>
    <x v="58"/>
    <x v="218"/>
    <x v="2534"/>
  </r>
  <r>
    <x v="14"/>
    <x v="108"/>
    <x v="219"/>
    <x v="2535"/>
  </r>
  <r>
    <x v="9"/>
    <x v="227"/>
    <x v="219"/>
    <x v="2536"/>
  </r>
  <r>
    <x v="9"/>
    <x v="211"/>
    <x v="219"/>
    <x v="2537"/>
  </r>
  <r>
    <x v="5"/>
    <x v="51"/>
    <x v="219"/>
    <x v="2538"/>
  </r>
  <r>
    <x v="5"/>
    <x v="233"/>
    <x v="219"/>
    <x v="2539"/>
  </r>
  <r>
    <x v="7"/>
    <x v="8"/>
    <x v="219"/>
    <x v="2540"/>
  </r>
  <r>
    <x v="7"/>
    <x v="20"/>
    <x v="219"/>
    <x v="2541"/>
  </r>
  <r>
    <x v="7"/>
    <x v="92"/>
    <x v="219"/>
    <x v="2542"/>
  </r>
  <r>
    <x v="7"/>
    <x v="82"/>
    <x v="219"/>
    <x v="2543"/>
  </r>
  <r>
    <x v="16"/>
    <x v="169"/>
    <x v="220"/>
    <x v="2544"/>
  </r>
  <r>
    <x v="0"/>
    <x v="89"/>
    <x v="220"/>
    <x v="2545"/>
  </r>
  <r>
    <x v="0"/>
    <x v="49"/>
    <x v="220"/>
    <x v="2546"/>
  </r>
  <r>
    <x v="0"/>
    <x v="84"/>
    <x v="220"/>
    <x v="2547"/>
  </r>
  <r>
    <x v="1"/>
    <x v="156"/>
    <x v="220"/>
    <x v="2548"/>
  </r>
  <r>
    <x v="1"/>
    <x v="216"/>
    <x v="220"/>
    <x v="2549"/>
  </r>
  <r>
    <x v="8"/>
    <x v="14"/>
    <x v="220"/>
    <x v="2550"/>
  </r>
  <r>
    <x v="9"/>
    <x v="185"/>
    <x v="220"/>
    <x v="2551"/>
  </r>
  <r>
    <x v="12"/>
    <x v="95"/>
    <x v="220"/>
    <x v="2552"/>
  </r>
  <r>
    <x v="5"/>
    <x v="78"/>
    <x v="220"/>
    <x v="2553"/>
  </r>
  <r>
    <x v="5"/>
    <x v="224"/>
    <x v="220"/>
    <x v="2554"/>
  </r>
  <r>
    <x v="6"/>
    <x v="97"/>
    <x v="220"/>
    <x v="2555"/>
  </r>
  <r>
    <x v="6"/>
    <x v="55"/>
    <x v="220"/>
    <x v="2556"/>
  </r>
  <r>
    <x v="6"/>
    <x v="182"/>
    <x v="220"/>
    <x v="2557"/>
  </r>
  <r>
    <x v="6"/>
    <x v="35"/>
    <x v="220"/>
    <x v="2558"/>
  </r>
  <r>
    <x v="6"/>
    <x v="96"/>
    <x v="220"/>
    <x v="2559"/>
  </r>
  <r>
    <x v="7"/>
    <x v="19"/>
    <x v="220"/>
    <x v="2560"/>
  </r>
  <r>
    <x v="7"/>
    <x v="37"/>
    <x v="220"/>
    <x v="2561"/>
  </r>
  <r>
    <x v="7"/>
    <x v="37"/>
    <x v="220"/>
    <x v="2562"/>
  </r>
  <r>
    <x v="7"/>
    <x v="48"/>
    <x v="220"/>
    <x v="2563"/>
  </r>
  <r>
    <x v="7"/>
    <x v="82"/>
    <x v="220"/>
    <x v="2564"/>
  </r>
  <r>
    <x v="16"/>
    <x v="170"/>
    <x v="221"/>
    <x v="2565"/>
  </r>
  <r>
    <x v="0"/>
    <x v="0"/>
    <x v="221"/>
    <x v="2566"/>
  </r>
  <r>
    <x v="9"/>
    <x v="221"/>
    <x v="221"/>
    <x v="2567"/>
  </r>
  <r>
    <x v="9"/>
    <x v="235"/>
    <x v="221"/>
    <x v="2568"/>
  </r>
  <r>
    <x v="9"/>
    <x v="187"/>
    <x v="221"/>
    <x v="2569"/>
  </r>
  <r>
    <x v="17"/>
    <x v="76"/>
    <x v="221"/>
    <x v="2570"/>
  </r>
  <r>
    <x v="6"/>
    <x v="213"/>
    <x v="221"/>
    <x v="2571"/>
  </r>
  <r>
    <x v="6"/>
    <x v="56"/>
    <x v="221"/>
    <x v="2572"/>
  </r>
  <r>
    <x v="6"/>
    <x v="98"/>
    <x v="221"/>
    <x v="2573"/>
  </r>
  <r>
    <x v="7"/>
    <x v="47"/>
    <x v="221"/>
    <x v="2574"/>
  </r>
  <r>
    <x v="7"/>
    <x v="126"/>
    <x v="221"/>
    <x v="2575"/>
  </r>
  <r>
    <x v="7"/>
    <x v="60"/>
    <x v="221"/>
    <x v="2576"/>
  </r>
  <r>
    <x v="0"/>
    <x v="63"/>
    <x v="222"/>
    <x v="2577"/>
  </r>
  <r>
    <x v="0"/>
    <x v="49"/>
    <x v="222"/>
    <x v="2578"/>
  </r>
  <r>
    <x v="0"/>
    <x v="207"/>
    <x v="222"/>
    <x v="2579"/>
  </r>
  <r>
    <x v="0"/>
    <x v="117"/>
    <x v="222"/>
    <x v="2580"/>
  </r>
  <r>
    <x v="14"/>
    <x v="200"/>
    <x v="222"/>
    <x v="2581"/>
  </r>
  <r>
    <x v="9"/>
    <x v="215"/>
    <x v="222"/>
    <x v="1426"/>
  </r>
  <r>
    <x v="6"/>
    <x v="142"/>
    <x v="222"/>
    <x v="2582"/>
  </r>
  <r>
    <x v="6"/>
    <x v="121"/>
    <x v="222"/>
    <x v="2583"/>
  </r>
  <r>
    <x v="7"/>
    <x v="24"/>
    <x v="222"/>
    <x v="2584"/>
  </r>
  <r>
    <x v="7"/>
    <x v="177"/>
    <x v="222"/>
    <x v="2585"/>
  </r>
  <r>
    <x v="7"/>
    <x v="91"/>
    <x v="222"/>
    <x v="2586"/>
  </r>
  <r>
    <x v="0"/>
    <x v="225"/>
    <x v="223"/>
    <x v="2587"/>
  </r>
  <r>
    <x v="0"/>
    <x v="127"/>
    <x v="223"/>
    <x v="2588"/>
  </r>
  <r>
    <x v="0"/>
    <x v="112"/>
    <x v="223"/>
    <x v="2589"/>
  </r>
  <r>
    <x v="1"/>
    <x v="173"/>
    <x v="223"/>
    <x v="2590"/>
  </r>
  <r>
    <x v="3"/>
    <x v="132"/>
    <x v="223"/>
    <x v="2591"/>
  </r>
  <r>
    <x v="8"/>
    <x v="65"/>
    <x v="223"/>
    <x v="2592"/>
  </r>
  <r>
    <x v="4"/>
    <x v="214"/>
    <x v="223"/>
    <x v="170"/>
  </r>
  <r>
    <x v="5"/>
    <x v="106"/>
    <x v="223"/>
    <x v="2593"/>
  </r>
  <r>
    <x v="6"/>
    <x v="111"/>
    <x v="223"/>
    <x v="2594"/>
  </r>
  <r>
    <x v="7"/>
    <x v="153"/>
    <x v="223"/>
    <x v="2595"/>
  </r>
  <r>
    <x v="16"/>
    <x v="188"/>
    <x v="224"/>
    <x v="2596"/>
  </r>
  <r>
    <x v="0"/>
    <x v="179"/>
    <x v="224"/>
    <x v="2597"/>
  </r>
  <r>
    <x v="0"/>
    <x v="206"/>
    <x v="224"/>
    <x v="2598"/>
  </r>
  <r>
    <x v="14"/>
    <x v="103"/>
    <x v="224"/>
    <x v="2599"/>
  </r>
  <r>
    <x v="14"/>
    <x v="130"/>
    <x v="224"/>
    <x v="2600"/>
  </r>
  <r>
    <x v="6"/>
    <x v="160"/>
    <x v="224"/>
    <x v="489"/>
  </r>
  <r>
    <x v="6"/>
    <x v="89"/>
    <x v="224"/>
    <x v="2601"/>
  </r>
  <r>
    <x v="6"/>
    <x v="167"/>
    <x v="224"/>
    <x v="2602"/>
  </r>
  <r>
    <x v="7"/>
    <x v="12"/>
    <x v="224"/>
    <x v="2603"/>
  </r>
  <r>
    <x v="7"/>
    <x v="47"/>
    <x v="224"/>
    <x v="2604"/>
  </r>
  <r>
    <x v="7"/>
    <x v="70"/>
    <x v="224"/>
    <x v="2605"/>
  </r>
  <r>
    <x v="7"/>
    <x v="112"/>
    <x v="224"/>
    <x v="2606"/>
  </r>
  <r>
    <x v="7"/>
    <x v="91"/>
    <x v="224"/>
    <x v="2607"/>
  </r>
  <r>
    <x v="16"/>
    <x v="151"/>
    <x v="225"/>
    <x v="170"/>
  </r>
  <r>
    <x v="0"/>
    <x v="190"/>
    <x v="225"/>
    <x v="2608"/>
  </r>
  <r>
    <x v="14"/>
    <x v="105"/>
    <x v="225"/>
    <x v="2609"/>
  </r>
  <r>
    <x v="5"/>
    <x v="5"/>
    <x v="225"/>
    <x v="2610"/>
  </r>
  <r>
    <x v="6"/>
    <x v="79"/>
    <x v="225"/>
    <x v="2611"/>
  </r>
  <r>
    <x v="6"/>
    <x v="168"/>
    <x v="225"/>
    <x v="2612"/>
  </r>
  <r>
    <x v="6"/>
    <x v="36"/>
    <x v="225"/>
    <x v="2613"/>
  </r>
  <r>
    <x v="7"/>
    <x v="39"/>
    <x v="225"/>
    <x v="2614"/>
  </r>
  <r>
    <x v="7"/>
    <x v="81"/>
    <x v="225"/>
    <x v="409"/>
  </r>
  <r>
    <x v="7"/>
    <x v="118"/>
    <x v="225"/>
    <x v="2615"/>
  </r>
  <r>
    <x v="10"/>
    <x v="26"/>
    <x v="226"/>
    <x v="2616"/>
  </r>
  <r>
    <x v="11"/>
    <x v="54"/>
    <x v="226"/>
    <x v="2617"/>
  </r>
  <r>
    <x v="0"/>
    <x v="33"/>
    <x v="226"/>
    <x v="2618"/>
  </r>
  <r>
    <x v="2"/>
    <x v="154"/>
    <x v="226"/>
    <x v="2619"/>
  </r>
  <r>
    <x v="5"/>
    <x v="44"/>
    <x v="226"/>
    <x v="2620"/>
  </r>
  <r>
    <x v="6"/>
    <x v="114"/>
    <x v="226"/>
    <x v="2621"/>
  </r>
  <r>
    <x v="7"/>
    <x v="21"/>
    <x v="226"/>
    <x v="2622"/>
  </r>
  <r>
    <x v="7"/>
    <x v="22"/>
    <x v="226"/>
    <x v="1168"/>
  </r>
  <r>
    <x v="16"/>
    <x v="138"/>
    <x v="227"/>
    <x v="2623"/>
  </r>
  <r>
    <x v="16"/>
    <x v="171"/>
    <x v="227"/>
    <x v="2624"/>
  </r>
  <r>
    <x v="0"/>
    <x v="116"/>
    <x v="227"/>
    <x v="2625"/>
  </r>
  <r>
    <x v="2"/>
    <x v="146"/>
    <x v="227"/>
    <x v="2626"/>
  </r>
  <r>
    <x v="3"/>
    <x v="210"/>
    <x v="227"/>
    <x v="2627"/>
  </r>
  <r>
    <x v="17"/>
    <x v="149"/>
    <x v="227"/>
    <x v="2628"/>
  </r>
  <r>
    <x v="17"/>
    <x v="75"/>
    <x v="227"/>
    <x v="2629"/>
  </r>
  <r>
    <x v="6"/>
    <x v="57"/>
    <x v="227"/>
    <x v="2630"/>
  </r>
  <r>
    <x v="7"/>
    <x v="7"/>
    <x v="227"/>
    <x v="2631"/>
  </r>
  <r>
    <x v="7"/>
    <x v="46"/>
    <x v="227"/>
    <x v="2632"/>
  </r>
  <r>
    <x v="7"/>
    <x v="124"/>
    <x v="227"/>
    <x v="2633"/>
  </r>
  <r>
    <x v="7"/>
    <x v="145"/>
    <x v="227"/>
    <x v="2634"/>
  </r>
  <r>
    <x v="7"/>
    <x v="50"/>
    <x v="227"/>
    <x v="2635"/>
  </r>
  <r>
    <x v="8"/>
    <x v="133"/>
    <x v="228"/>
    <x v="2636"/>
  </r>
  <r>
    <x v="9"/>
    <x v="15"/>
    <x v="228"/>
    <x v="998"/>
  </r>
  <r>
    <x v="5"/>
    <x v="88"/>
    <x v="228"/>
    <x v="2637"/>
  </r>
  <r>
    <x v="6"/>
    <x v="69"/>
    <x v="228"/>
    <x v="2638"/>
  </r>
  <r>
    <x v="7"/>
    <x v="59"/>
    <x v="228"/>
    <x v="2639"/>
  </r>
  <r>
    <x v="7"/>
    <x v="9"/>
    <x v="228"/>
    <x v="127"/>
  </r>
  <r>
    <x v="7"/>
    <x v="47"/>
    <x v="228"/>
    <x v="2640"/>
  </r>
  <r>
    <x v="7"/>
    <x v="21"/>
    <x v="228"/>
    <x v="1498"/>
  </r>
  <r>
    <x v="4"/>
    <x v="139"/>
    <x v="229"/>
    <x v="2641"/>
  </r>
  <r>
    <x v="5"/>
    <x v="34"/>
    <x v="229"/>
    <x v="2642"/>
  </r>
  <r>
    <x v="6"/>
    <x v="97"/>
    <x v="229"/>
    <x v="2643"/>
  </r>
  <r>
    <x v="6"/>
    <x v="122"/>
    <x v="229"/>
    <x v="2644"/>
  </r>
  <r>
    <x v="6"/>
    <x v="123"/>
    <x v="229"/>
    <x v="2645"/>
  </r>
  <r>
    <x v="6"/>
    <x v="177"/>
    <x v="229"/>
    <x v="2646"/>
  </r>
  <r>
    <x v="7"/>
    <x v="70"/>
    <x v="229"/>
    <x v="2647"/>
  </r>
  <r>
    <x v="7"/>
    <x v="82"/>
    <x v="229"/>
    <x v="2648"/>
  </r>
  <r>
    <x v="7"/>
    <x v="82"/>
    <x v="229"/>
    <x v="2649"/>
  </r>
  <r>
    <x v="7"/>
    <x v="39"/>
    <x v="229"/>
    <x v="2650"/>
  </r>
  <r>
    <x v="7"/>
    <x v="61"/>
    <x v="229"/>
    <x v="2651"/>
  </r>
  <r>
    <x v="1"/>
    <x v="1"/>
    <x v="230"/>
    <x v="2652"/>
  </r>
  <r>
    <x v="9"/>
    <x v="30"/>
    <x v="230"/>
    <x v="2653"/>
  </r>
  <r>
    <x v="9"/>
    <x v="135"/>
    <x v="230"/>
    <x v="2654"/>
  </r>
  <r>
    <x v="9"/>
    <x v="157"/>
    <x v="230"/>
    <x v="2655"/>
  </r>
  <r>
    <x v="6"/>
    <x v="203"/>
    <x v="230"/>
    <x v="2656"/>
  </r>
  <r>
    <x v="7"/>
    <x v="59"/>
    <x v="230"/>
    <x v="2657"/>
  </r>
  <r>
    <x v="7"/>
    <x v="8"/>
    <x v="230"/>
    <x v="2658"/>
  </r>
  <r>
    <x v="7"/>
    <x v="20"/>
    <x v="230"/>
    <x v="2358"/>
  </r>
  <r>
    <x v="7"/>
    <x v="47"/>
    <x v="230"/>
    <x v="2659"/>
  </r>
  <r>
    <x v="7"/>
    <x v="145"/>
    <x v="230"/>
    <x v="2660"/>
  </r>
  <r>
    <x v="7"/>
    <x v="10"/>
    <x v="230"/>
    <x v="2427"/>
  </r>
  <r>
    <x v="7"/>
    <x v="61"/>
    <x v="230"/>
    <x v="2661"/>
  </r>
  <r>
    <x v="3"/>
    <x v="3"/>
    <x v="231"/>
    <x v="2662"/>
  </r>
  <r>
    <x v="9"/>
    <x v="165"/>
    <x v="231"/>
    <x v="2663"/>
  </r>
  <r>
    <x v="17"/>
    <x v="74"/>
    <x v="231"/>
    <x v="2664"/>
  </r>
  <r>
    <x v="5"/>
    <x v="16"/>
    <x v="231"/>
    <x v="2665"/>
  </r>
  <r>
    <x v="7"/>
    <x v="22"/>
    <x v="231"/>
    <x v="2666"/>
  </r>
  <r>
    <x v="7"/>
    <x v="24"/>
    <x v="231"/>
    <x v="2667"/>
  </r>
  <r>
    <x v="0"/>
    <x v="100"/>
    <x v="232"/>
    <x v="2668"/>
  </r>
  <r>
    <x v="0"/>
    <x v="199"/>
    <x v="232"/>
    <x v="2669"/>
  </r>
  <r>
    <x v="18"/>
    <x v="158"/>
    <x v="232"/>
    <x v="170"/>
  </r>
  <r>
    <x v="1"/>
    <x v="128"/>
    <x v="232"/>
    <x v="2670"/>
  </r>
  <r>
    <x v="1"/>
    <x v="223"/>
    <x v="232"/>
    <x v="2671"/>
  </r>
  <r>
    <x v="9"/>
    <x v="148"/>
    <x v="232"/>
    <x v="2672"/>
  </r>
  <r>
    <x v="5"/>
    <x v="86"/>
    <x v="232"/>
    <x v="1033"/>
  </r>
  <r>
    <x v="5"/>
    <x v="136"/>
    <x v="232"/>
    <x v="170"/>
  </r>
  <r>
    <x v="6"/>
    <x v="192"/>
    <x v="232"/>
    <x v="2673"/>
  </r>
  <r>
    <x v="6"/>
    <x v="56"/>
    <x v="232"/>
    <x v="2674"/>
  </r>
  <r>
    <x v="7"/>
    <x v="45"/>
    <x v="232"/>
    <x v="2675"/>
  </r>
  <r>
    <x v="7"/>
    <x v="213"/>
    <x v="232"/>
    <x v="2676"/>
  </r>
  <r>
    <x v="7"/>
    <x v="37"/>
    <x v="232"/>
    <x v="2677"/>
  </r>
  <r>
    <x v="7"/>
    <x v="125"/>
    <x v="232"/>
    <x v="2678"/>
  </r>
  <r>
    <x v="7"/>
    <x v="25"/>
    <x v="232"/>
    <x v="2679"/>
  </r>
  <r>
    <x v="7"/>
    <x v="25"/>
    <x v="232"/>
    <x v="2680"/>
  </r>
  <r>
    <x v="14"/>
    <x v="209"/>
    <x v="233"/>
    <x v="2681"/>
  </r>
  <r>
    <x v="8"/>
    <x v="73"/>
    <x v="233"/>
    <x v="2682"/>
  </r>
  <r>
    <x v="5"/>
    <x v="80"/>
    <x v="233"/>
    <x v="2683"/>
  </r>
  <r>
    <x v="6"/>
    <x v="68"/>
    <x v="233"/>
    <x v="2684"/>
  </r>
  <r>
    <x v="6"/>
    <x v="121"/>
    <x v="233"/>
    <x v="2685"/>
  </r>
  <r>
    <x v="6"/>
    <x v="122"/>
    <x v="233"/>
    <x v="2686"/>
  </r>
  <r>
    <x v="6"/>
    <x v="144"/>
    <x v="233"/>
    <x v="2687"/>
  </r>
  <r>
    <x v="6"/>
    <x v="35"/>
    <x v="233"/>
    <x v="2688"/>
  </r>
  <r>
    <x v="7"/>
    <x v="45"/>
    <x v="233"/>
    <x v="2689"/>
  </r>
  <r>
    <x v="7"/>
    <x v="48"/>
    <x v="233"/>
    <x v="2690"/>
  </r>
  <r>
    <x v="7"/>
    <x v="145"/>
    <x v="233"/>
    <x v="2691"/>
  </r>
  <r>
    <x v="0"/>
    <x v="204"/>
    <x v="234"/>
    <x v="2692"/>
  </r>
  <r>
    <x v="0"/>
    <x v="99"/>
    <x v="234"/>
    <x v="2693"/>
  </r>
  <r>
    <x v="1"/>
    <x v="229"/>
    <x v="234"/>
    <x v="2694"/>
  </r>
  <r>
    <x v="2"/>
    <x v="129"/>
    <x v="234"/>
    <x v="1133"/>
  </r>
  <r>
    <x v="12"/>
    <x v="113"/>
    <x v="234"/>
    <x v="2695"/>
  </r>
  <r>
    <x v="6"/>
    <x v="36"/>
    <x v="234"/>
    <x v="2696"/>
  </r>
  <r>
    <x v="7"/>
    <x v="47"/>
    <x v="234"/>
    <x v="2697"/>
  </r>
  <r>
    <x v="7"/>
    <x v="124"/>
    <x v="234"/>
    <x v="2698"/>
  </r>
  <r>
    <x v="7"/>
    <x v="70"/>
    <x v="234"/>
    <x v="2699"/>
  </r>
  <r>
    <x v="7"/>
    <x v="115"/>
    <x v="234"/>
    <x v="2700"/>
  </r>
  <r>
    <x v="7"/>
    <x v="126"/>
    <x v="234"/>
    <x v="2701"/>
  </r>
  <r>
    <x v="7"/>
    <x v="81"/>
    <x v="234"/>
    <x v="2702"/>
  </r>
  <r>
    <x v="0"/>
    <x v="193"/>
    <x v="235"/>
    <x v="2703"/>
  </r>
  <r>
    <x v="0"/>
    <x v="92"/>
    <x v="235"/>
    <x v="635"/>
  </r>
  <r>
    <x v="5"/>
    <x v="141"/>
    <x v="235"/>
    <x v="2704"/>
  </r>
  <r>
    <x v="5"/>
    <x v="166"/>
    <x v="235"/>
    <x v="2705"/>
  </r>
  <r>
    <x v="5"/>
    <x v="176"/>
    <x v="235"/>
    <x v="2706"/>
  </r>
  <r>
    <x v="6"/>
    <x v="124"/>
    <x v="235"/>
    <x v="2707"/>
  </r>
  <r>
    <x v="6"/>
    <x v="218"/>
    <x v="235"/>
    <x v="2708"/>
  </r>
  <r>
    <x v="7"/>
    <x v="17"/>
    <x v="235"/>
    <x v="2709"/>
  </r>
  <r>
    <x v="7"/>
    <x v="143"/>
    <x v="235"/>
    <x v="2710"/>
  </r>
  <r>
    <x v="7"/>
    <x v="9"/>
    <x v="235"/>
    <x v="2711"/>
  </r>
  <r>
    <x v="7"/>
    <x v="23"/>
    <x v="235"/>
    <x v="2712"/>
  </r>
  <r>
    <x v="7"/>
    <x v="115"/>
    <x v="235"/>
    <x v="2713"/>
  </r>
  <r>
    <x v="7"/>
    <x v="10"/>
    <x v="235"/>
    <x v="2714"/>
  </r>
  <r>
    <x v="7"/>
    <x v="11"/>
    <x v="235"/>
    <x v="2715"/>
  </r>
  <r>
    <x v="7"/>
    <x v="125"/>
    <x v="235"/>
    <x v="2716"/>
  </r>
  <r>
    <x v="7"/>
    <x v="6"/>
    <x v="235"/>
    <x v="2717"/>
  </r>
  <r>
    <x v="7"/>
    <x v="161"/>
    <x v="235"/>
    <x v="2718"/>
  </r>
  <r>
    <x v="7"/>
    <x v="161"/>
    <x v="235"/>
    <x v="2719"/>
  </r>
  <r>
    <x v="7"/>
    <x v="39"/>
    <x v="235"/>
    <x v="2720"/>
  </r>
  <r>
    <x v="16"/>
    <x v="163"/>
    <x v="236"/>
    <x v="2721"/>
  </r>
  <r>
    <x v="0"/>
    <x v="162"/>
    <x v="236"/>
    <x v="2722"/>
  </r>
  <r>
    <x v="0"/>
    <x v="84"/>
    <x v="236"/>
    <x v="2723"/>
  </r>
  <r>
    <x v="0"/>
    <x v="144"/>
    <x v="236"/>
    <x v="2724"/>
  </r>
  <r>
    <x v="18"/>
    <x v="195"/>
    <x v="236"/>
    <x v="2725"/>
  </r>
  <r>
    <x v="8"/>
    <x v="29"/>
    <x v="236"/>
    <x v="2726"/>
  </r>
  <r>
    <x v="9"/>
    <x v="186"/>
    <x v="236"/>
    <x v="2727"/>
  </r>
  <r>
    <x v="12"/>
    <x v="236"/>
    <x v="236"/>
    <x v="2728"/>
  </r>
  <r>
    <x v="5"/>
    <x v="159"/>
    <x v="236"/>
    <x v="2729"/>
  </r>
  <r>
    <x v="6"/>
    <x v="37"/>
    <x v="236"/>
    <x v="2730"/>
  </r>
  <r>
    <x v="6"/>
    <x v="152"/>
    <x v="236"/>
    <x v="2731"/>
  </r>
  <r>
    <x v="7"/>
    <x v="19"/>
    <x v="236"/>
    <x v="2732"/>
  </r>
  <r>
    <x v="7"/>
    <x v="143"/>
    <x v="236"/>
    <x v="2733"/>
  </r>
  <r>
    <x v="7"/>
    <x v="38"/>
    <x v="236"/>
    <x v="2734"/>
  </r>
  <r>
    <x v="16"/>
    <x v="155"/>
    <x v="237"/>
    <x v="2735"/>
  </r>
  <r>
    <x v="0"/>
    <x v="230"/>
    <x v="237"/>
    <x v="2736"/>
  </r>
  <r>
    <x v="2"/>
    <x v="64"/>
    <x v="237"/>
    <x v="2737"/>
  </r>
  <r>
    <x v="2"/>
    <x v="226"/>
    <x v="237"/>
    <x v="2738"/>
  </r>
  <r>
    <x v="13"/>
    <x v="41"/>
    <x v="237"/>
    <x v="2739"/>
  </r>
  <r>
    <x v="12"/>
    <x v="32"/>
    <x v="237"/>
    <x v="2740"/>
  </r>
  <r>
    <x v="6"/>
    <x v="43"/>
    <x v="237"/>
    <x v="2741"/>
  </r>
  <r>
    <x v="6"/>
    <x v="182"/>
    <x v="237"/>
    <x v="2742"/>
  </r>
  <r>
    <x v="6"/>
    <x v="57"/>
    <x v="237"/>
    <x v="2743"/>
  </r>
  <r>
    <x v="7"/>
    <x v="145"/>
    <x v="237"/>
    <x v="31"/>
  </r>
  <r>
    <x v="7"/>
    <x v="152"/>
    <x v="237"/>
    <x v="1288"/>
  </r>
  <r>
    <x v="1"/>
    <x v="231"/>
    <x v="238"/>
    <x v="2744"/>
  </r>
  <r>
    <x v="12"/>
    <x v="175"/>
    <x v="238"/>
    <x v="2745"/>
  </r>
  <r>
    <x v="6"/>
    <x v="55"/>
    <x v="238"/>
    <x v="2746"/>
  </r>
  <r>
    <x v="6"/>
    <x v="203"/>
    <x v="238"/>
    <x v="2747"/>
  </r>
  <r>
    <x v="6"/>
    <x v="168"/>
    <x v="238"/>
    <x v="2748"/>
  </r>
  <r>
    <x v="7"/>
    <x v="21"/>
    <x v="238"/>
    <x v="2749"/>
  </r>
  <r>
    <x v="7"/>
    <x v="71"/>
    <x v="238"/>
    <x v="2750"/>
  </r>
  <r>
    <x v="7"/>
    <x v="82"/>
    <x v="238"/>
    <x v="2751"/>
  </r>
  <r>
    <x v="7"/>
    <x v="24"/>
    <x v="238"/>
    <x v="2752"/>
  </r>
  <r>
    <x v="10"/>
    <x v="222"/>
    <x v="239"/>
    <x v="2753"/>
  </r>
  <r>
    <x v="0"/>
    <x v="69"/>
    <x v="239"/>
    <x v="2754"/>
  </r>
  <r>
    <x v="0"/>
    <x v="72"/>
    <x v="239"/>
    <x v="2755"/>
  </r>
  <r>
    <x v="0"/>
    <x v="177"/>
    <x v="239"/>
    <x v="2756"/>
  </r>
  <r>
    <x v="18"/>
    <x v="107"/>
    <x v="239"/>
    <x v="2757"/>
  </r>
  <r>
    <x v="18"/>
    <x v="189"/>
    <x v="239"/>
    <x v="2758"/>
  </r>
  <r>
    <x v="2"/>
    <x v="104"/>
    <x v="239"/>
    <x v="2759"/>
  </r>
  <r>
    <x v="8"/>
    <x v="85"/>
    <x v="239"/>
    <x v="2760"/>
  </r>
  <r>
    <x v="8"/>
    <x v="66"/>
    <x v="239"/>
    <x v="2761"/>
  </r>
  <r>
    <x v="5"/>
    <x v="137"/>
    <x v="239"/>
    <x v="2762"/>
  </r>
  <r>
    <x v="19"/>
    <x v="110"/>
    <x v="239"/>
    <x v="2763"/>
  </r>
  <r>
    <x v="6"/>
    <x v="150"/>
    <x v="239"/>
    <x v="2764"/>
  </r>
  <r>
    <x v="7"/>
    <x v="8"/>
    <x v="239"/>
    <x v="2765"/>
  </r>
  <r>
    <x v="7"/>
    <x v="70"/>
    <x v="239"/>
    <x v="2766"/>
  </r>
  <r>
    <x v="7"/>
    <x v="23"/>
    <x v="239"/>
    <x v="2767"/>
  </r>
  <r>
    <x v="7"/>
    <x v="10"/>
    <x v="239"/>
    <x v="2768"/>
  </r>
  <r>
    <x v="7"/>
    <x v="71"/>
    <x v="239"/>
    <x v="2769"/>
  </r>
  <r>
    <x v="7"/>
    <x v="24"/>
    <x v="239"/>
    <x v="2770"/>
  </r>
  <r>
    <x v="7"/>
    <x v="177"/>
    <x v="239"/>
    <x v="2771"/>
  </r>
  <r>
    <x v="7"/>
    <x v="25"/>
    <x v="239"/>
    <x v="2772"/>
  </r>
  <r>
    <x v="7"/>
    <x v="50"/>
    <x v="239"/>
    <x v="2773"/>
  </r>
  <r>
    <x v="0"/>
    <x v="28"/>
    <x v="240"/>
    <x v="2774"/>
  </r>
  <r>
    <x v="0"/>
    <x v="205"/>
    <x v="240"/>
    <x v="2775"/>
  </r>
  <r>
    <x v="0"/>
    <x v="93"/>
    <x v="240"/>
    <x v="2776"/>
  </r>
  <r>
    <x v="14"/>
    <x v="119"/>
    <x v="240"/>
    <x v="2777"/>
  </r>
  <r>
    <x v="8"/>
    <x v="197"/>
    <x v="240"/>
    <x v="2778"/>
  </r>
  <r>
    <x v="8"/>
    <x v="198"/>
    <x v="240"/>
    <x v="2779"/>
  </r>
  <r>
    <x v="15"/>
    <x v="27"/>
    <x v="240"/>
    <x v="2780"/>
  </r>
  <r>
    <x v="12"/>
    <x v="180"/>
    <x v="240"/>
    <x v="2781"/>
  </r>
  <r>
    <x v="12"/>
    <x v="94"/>
    <x v="240"/>
    <x v="2753"/>
  </r>
  <r>
    <x v="5"/>
    <x v="202"/>
    <x v="240"/>
    <x v="2782"/>
  </r>
  <r>
    <x v="7"/>
    <x v="7"/>
    <x v="240"/>
    <x v="2783"/>
  </r>
  <r>
    <x v="7"/>
    <x v="59"/>
    <x v="240"/>
    <x v="2784"/>
  </r>
  <r>
    <x v="7"/>
    <x v="8"/>
    <x v="240"/>
    <x v="2785"/>
  </r>
  <r>
    <x v="7"/>
    <x v="60"/>
    <x v="240"/>
    <x v="2786"/>
  </r>
  <r>
    <x v="0"/>
    <x v="205"/>
    <x v="241"/>
    <x v="2787"/>
  </r>
  <r>
    <x v="2"/>
    <x v="13"/>
    <x v="241"/>
    <x v="858"/>
  </r>
  <r>
    <x v="14"/>
    <x v="147"/>
    <x v="241"/>
    <x v="2788"/>
  </r>
  <r>
    <x v="3"/>
    <x v="131"/>
    <x v="241"/>
    <x v="2789"/>
  </r>
  <r>
    <x v="8"/>
    <x v="164"/>
    <x v="241"/>
    <x v="2790"/>
  </r>
  <r>
    <x v="8"/>
    <x v="181"/>
    <x v="241"/>
    <x v="2791"/>
  </r>
  <r>
    <x v="9"/>
    <x v="174"/>
    <x v="241"/>
    <x v="2792"/>
  </r>
  <r>
    <x v="12"/>
    <x v="77"/>
    <x v="241"/>
    <x v="2793"/>
  </r>
  <r>
    <x v="5"/>
    <x v="87"/>
    <x v="241"/>
    <x v="2794"/>
  </r>
  <r>
    <x v="5"/>
    <x v="191"/>
    <x v="241"/>
    <x v="2795"/>
  </r>
  <r>
    <x v="6"/>
    <x v="142"/>
    <x v="241"/>
    <x v="1009"/>
  </r>
  <r>
    <x v="6"/>
    <x v="68"/>
    <x v="241"/>
    <x v="2796"/>
  </r>
  <r>
    <x v="6"/>
    <x v="57"/>
    <x v="241"/>
    <x v="2797"/>
  </r>
  <r>
    <x v="7"/>
    <x v="112"/>
    <x v="241"/>
    <x v="2798"/>
  </r>
  <r>
    <x v="7"/>
    <x v="177"/>
    <x v="241"/>
    <x v="2799"/>
  </r>
  <r>
    <x v="7"/>
    <x v="61"/>
    <x v="241"/>
    <x v="2800"/>
  </r>
  <r>
    <x v="18"/>
    <x v="102"/>
    <x v="242"/>
    <x v="2801"/>
  </r>
  <r>
    <x v="1"/>
    <x v="208"/>
    <x v="242"/>
    <x v="2802"/>
  </r>
  <r>
    <x v="3"/>
    <x v="109"/>
    <x v="242"/>
    <x v="2449"/>
  </r>
  <r>
    <x v="8"/>
    <x v="134"/>
    <x v="242"/>
    <x v="2803"/>
  </r>
  <r>
    <x v="5"/>
    <x v="184"/>
    <x v="242"/>
    <x v="2804"/>
  </r>
  <r>
    <x v="6"/>
    <x v="7"/>
    <x v="242"/>
    <x v="2805"/>
  </r>
  <r>
    <x v="6"/>
    <x v="183"/>
    <x v="242"/>
    <x v="2806"/>
  </r>
  <r>
    <x v="6"/>
    <x v="69"/>
    <x v="242"/>
    <x v="28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7">
  <r>
    <x v="0"/>
    <x v="0"/>
    <x v="0"/>
    <x v="0"/>
    <x v="0"/>
  </r>
  <r>
    <x v="1"/>
    <x v="1"/>
    <x v="0"/>
    <x v="0"/>
    <x v="1"/>
  </r>
  <r>
    <x v="2"/>
    <x v="2"/>
    <x v="0"/>
    <x v="0"/>
    <x v="2"/>
  </r>
  <r>
    <x v="3"/>
    <x v="3"/>
    <x v="0"/>
    <x v="0"/>
    <x v="3"/>
  </r>
  <r>
    <x v="4"/>
    <x v="4"/>
    <x v="0"/>
    <x v="0"/>
    <x v="4"/>
  </r>
  <r>
    <x v="5"/>
    <x v="5"/>
    <x v="0"/>
    <x v="0"/>
    <x v="5"/>
  </r>
  <r>
    <x v="6"/>
    <x v="6"/>
    <x v="0"/>
    <x v="0"/>
    <x v="6"/>
  </r>
  <r>
    <x v="7"/>
    <x v="7"/>
    <x v="0"/>
    <x v="0"/>
    <x v="7"/>
  </r>
  <r>
    <x v="8"/>
    <x v="8"/>
    <x v="0"/>
    <x v="0"/>
    <x v="8"/>
  </r>
  <r>
    <x v="9"/>
    <x v="9"/>
    <x v="0"/>
    <x v="0"/>
    <x v="9"/>
  </r>
  <r>
    <x v="10"/>
    <x v="10"/>
    <x v="0"/>
    <x v="0"/>
    <x v="10"/>
  </r>
  <r>
    <x v="11"/>
    <x v="11"/>
    <x v="0"/>
    <x v="0"/>
    <x v="11"/>
  </r>
  <r>
    <x v="12"/>
    <x v="12"/>
    <x v="0"/>
    <x v="0"/>
    <x v="12"/>
  </r>
  <r>
    <x v="13"/>
    <x v="13"/>
    <x v="0"/>
    <x v="0"/>
    <x v="13"/>
  </r>
  <r>
    <x v="14"/>
    <x v="14"/>
    <x v="0"/>
    <x v="0"/>
    <x v="14"/>
  </r>
  <r>
    <x v="15"/>
    <x v="15"/>
    <x v="0"/>
    <x v="0"/>
    <x v="15"/>
  </r>
  <r>
    <x v="16"/>
    <x v="16"/>
    <x v="0"/>
    <x v="0"/>
    <x v="16"/>
  </r>
  <r>
    <x v="17"/>
    <x v="17"/>
    <x v="0"/>
    <x v="0"/>
    <x v="17"/>
  </r>
  <r>
    <x v="18"/>
    <x v="18"/>
    <x v="0"/>
    <x v="0"/>
    <x v="18"/>
  </r>
  <r>
    <x v="19"/>
    <x v="19"/>
    <x v="0"/>
    <x v="0"/>
    <x v="19"/>
  </r>
  <r>
    <x v="20"/>
    <x v="20"/>
    <x v="0"/>
    <x v="0"/>
    <x v="20"/>
  </r>
  <r>
    <x v="21"/>
    <x v="21"/>
    <x v="0"/>
    <x v="0"/>
    <x v="21"/>
  </r>
  <r>
    <x v="22"/>
    <x v="22"/>
    <x v="0"/>
    <x v="0"/>
    <x v="22"/>
  </r>
  <r>
    <x v="23"/>
    <x v="23"/>
    <x v="0"/>
    <x v="0"/>
    <x v="23"/>
  </r>
  <r>
    <x v="24"/>
    <x v="24"/>
    <x v="0"/>
    <x v="0"/>
    <x v="24"/>
  </r>
  <r>
    <x v="25"/>
    <x v="25"/>
    <x v="0"/>
    <x v="0"/>
    <x v="25"/>
  </r>
  <r>
    <x v="26"/>
    <x v="26"/>
    <x v="0"/>
    <x v="0"/>
    <x v="26"/>
  </r>
  <r>
    <x v="27"/>
    <x v="27"/>
    <x v="0"/>
    <x v="0"/>
    <x v="27"/>
  </r>
  <r>
    <x v="28"/>
    <x v="28"/>
    <x v="0"/>
    <x v="0"/>
    <x v="28"/>
  </r>
  <r>
    <x v="29"/>
    <x v="29"/>
    <x v="0"/>
    <x v="0"/>
    <x v="29"/>
  </r>
  <r>
    <x v="30"/>
    <x v="30"/>
    <x v="0"/>
    <x v="0"/>
    <x v="30"/>
  </r>
  <r>
    <x v="31"/>
    <x v="31"/>
    <x v="0"/>
    <x v="0"/>
    <x v="31"/>
  </r>
  <r>
    <x v="32"/>
    <x v="32"/>
    <x v="0"/>
    <x v="0"/>
    <x v="32"/>
  </r>
  <r>
    <x v="33"/>
    <x v="33"/>
    <x v="0"/>
    <x v="0"/>
    <x v="33"/>
  </r>
  <r>
    <x v="34"/>
    <x v="34"/>
    <x v="0"/>
    <x v="0"/>
    <x v="34"/>
  </r>
  <r>
    <x v="35"/>
    <x v="35"/>
    <x v="0"/>
    <x v="0"/>
    <x v="35"/>
  </r>
  <r>
    <x v="36"/>
    <x v="36"/>
    <x v="0"/>
    <x v="0"/>
    <x v="36"/>
  </r>
  <r>
    <x v="37"/>
    <x v="37"/>
    <x v="0"/>
    <x v="0"/>
    <x v="37"/>
  </r>
  <r>
    <x v="38"/>
    <x v="38"/>
    <x v="0"/>
    <x v="0"/>
    <x v="38"/>
  </r>
  <r>
    <x v="39"/>
    <x v="39"/>
    <x v="0"/>
    <x v="0"/>
    <x v="39"/>
  </r>
  <r>
    <x v="40"/>
    <x v="40"/>
    <x v="0"/>
    <x v="0"/>
    <x v="40"/>
  </r>
  <r>
    <x v="41"/>
    <x v="41"/>
    <x v="0"/>
    <x v="0"/>
    <x v="41"/>
  </r>
  <r>
    <x v="42"/>
    <x v="42"/>
    <x v="0"/>
    <x v="0"/>
    <x v="42"/>
  </r>
  <r>
    <x v="43"/>
    <x v="43"/>
    <x v="0"/>
    <x v="0"/>
    <x v="43"/>
  </r>
  <r>
    <x v="44"/>
    <x v="44"/>
    <x v="0"/>
    <x v="1"/>
    <x v="44"/>
  </r>
  <r>
    <x v="45"/>
    <x v="45"/>
    <x v="0"/>
    <x v="1"/>
    <x v="45"/>
  </r>
  <r>
    <x v="46"/>
    <x v="46"/>
    <x v="0"/>
    <x v="1"/>
    <x v="46"/>
  </r>
  <r>
    <x v="47"/>
    <x v="47"/>
    <x v="0"/>
    <x v="1"/>
    <x v="47"/>
  </r>
  <r>
    <x v="48"/>
    <x v="48"/>
    <x v="0"/>
    <x v="1"/>
    <x v="48"/>
  </r>
  <r>
    <x v="49"/>
    <x v="49"/>
    <x v="0"/>
    <x v="1"/>
    <x v="49"/>
  </r>
  <r>
    <x v="50"/>
    <x v="50"/>
    <x v="0"/>
    <x v="1"/>
    <x v="50"/>
  </r>
  <r>
    <x v="51"/>
    <x v="51"/>
    <x v="0"/>
    <x v="1"/>
    <x v="51"/>
  </r>
  <r>
    <x v="52"/>
    <x v="52"/>
    <x v="0"/>
    <x v="1"/>
    <x v="52"/>
  </r>
  <r>
    <x v="53"/>
    <x v="53"/>
    <x v="0"/>
    <x v="1"/>
    <x v="53"/>
  </r>
  <r>
    <x v="54"/>
    <x v="54"/>
    <x v="0"/>
    <x v="1"/>
    <x v="54"/>
  </r>
  <r>
    <x v="55"/>
    <x v="55"/>
    <x v="0"/>
    <x v="1"/>
    <x v="55"/>
  </r>
  <r>
    <x v="56"/>
    <x v="56"/>
    <x v="0"/>
    <x v="1"/>
    <x v="56"/>
  </r>
  <r>
    <x v="57"/>
    <x v="57"/>
    <x v="0"/>
    <x v="1"/>
    <x v="57"/>
  </r>
  <r>
    <x v="58"/>
    <x v="58"/>
    <x v="0"/>
    <x v="1"/>
    <x v="58"/>
  </r>
  <r>
    <x v="59"/>
    <x v="59"/>
    <x v="0"/>
    <x v="1"/>
    <x v="59"/>
  </r>
  <r>
    <x v="60"/>
    <x v="60"/>
    <x v="0"/>
    <x v="1"/>
    <x v="60"/>
  </r>
  <r>
    <x v="61"/>
    <x v="61"/>
    <x v="0"/>
    <x v="1"/>
    <x v="61"/>
  </r>
  <r>
    <x v="62"/>
    <x v="62"/>
    <x v="0"/>
    <x v="1"/>
    <x v="62"/>
  </r>
  <r>
    <x v="63"/>
    <x v="63"/>
    <x v="0"/>
    <x v="1"/>
    <x v="63"/>
  </r>
  <r>
    <x v="64"/>
    <x v="64"/>
    <x v="0"/>
    <x v="1"/>
    <x v="64"/>
  </r>
  <r>
    <x v="65"/>
    <x v="65"/>
    <x v="0"/>
    <x v="1"/>
    <x v="65"/>
  </r>
  <r>
    <x v="66"/>
    <x v="66"/>
    <x v="0"/>
    <x v="1"/>
    <x v="66"/>
  </r>
  <r>
    <x v="67"/>
    <x v="67"/>
    <x v="0"/>
    <x v="1"/>
    <x v="67"/>
  </r>
  <r>
    <x v="68"/>
    <x v="68"/>
    <x v="0"/>
    <x v="1"/>
    <x v="68"/>
  </r>
  <r>
    <x v="69"/>
    <x v="69"/>
    <x v="0"/>
    <x v="1"/>
    <x v="69"/>
  </r>
  <r>
    <x v="70"/>
    <x v="70"/>
    <x v="0"/>
    <x v="1"/>
    <x v="70"/>
  </r>
  <r>
    <x v="71"/>
    <x v="71"/>
    <x v="0"/>
    <x v="1"/>
    <x v="71"/>
  </r>
  <r>
    <x v="72"/>
    <x v="72"/>
    <x v="0"/>
    <x v="1"/>
    <x v="72"/>
  </r>
  <r>
    <x v="73"/>
    <x v="73"/>
    <x v="0"/>
    <x v="1"/>
    <x v="73"/>
  </r>
  <r>
    <x v="74"/>
    <x v="74"/>
    <x v="0"/>
    <x v="1"/>
    <x v="74"/>
  </r>
  <r>
    <x v="75"/>
    <x v="75"/>
    <x v="0"/>
    <x v="1"/>
    <x v="75"/>
  </r>
  <r>
    <x v="76"/>
    <x v="76"/>
    <x v="0"/>
    <x v="1"/>
    <x v="76"/>
  </r>
  <r>
    <x v="77"/>
    <x v="77"/>
    <x v="0"/>
    <x v="1"/>
    <x v="77"/>
  </r>
  <r>
    <x v="78"/>
    <x v="78"/>
    <x v="0"/>
    <x v="1"/>
    <x v="78"/>
  </r>
  <r>
    <x v="79"/>
    <x v="79"/>
    <x v="0"/>
    <x v="1"/>
    <x v="79"/>
  </r>
  <r>
    <x v="80"/>
    <x v="80"/>
    <x v="0"/>
    <x v="2"/>
    <x v="80"/>
  </r>
  <r>
    <x v="81"/>
    <x v="81"/>
    <x v="0"/>
    <x v="2"/>
    <x v="81"/>
  </r>
  <r>
    <x v="82"/>
    <x v="82"/>
    <x v="0"/>
    <x v="2"/>
    <x v="82"/>
  </r>
  <r>
    <x v="83"/>
    <x v="83"/>
    <x v="0"/>
    <x v="2"/>
    <x v="83"/>
  </r>
  <r>
    <x v="84"/>
    <x v="84"/>
    <x v="0"/>
    <x v="2"/>
    <x v="84"/>
  </r>
  <r>
    <x v="85"/>
    <x v="85"/>
    <x v="0"/>
    <x v="2"/>
    <x v="85"/>
  </r>
  <r>
    <x v="86"/>
    <x v="86"/>
    <x v="0"/>
    <x v="2"/>
    <x v="86"/>
  </r>
  <r>
    <x v="87"/>
    <x v="87"/>
    <x v="0"/>
    <x v="2"/>
    <x v="87"/>
  </r>
  <r>
    <x v="88"/>
    <x v="88"/>
    <x v="0"/>
    <x v="2"/>
    <x v="88"/>
  </r>
  <r>
    <x v="89"/>
    <x v="89"/>
    <x v="0"/>
    <x v="2"/>
    <x v="89"/>
  </r>
  <r>
    <x v="90"/>
    <x v="90"/>
    <x v="0"/>
    <x v="2"/>
    <x v="90"/>
  </r>
  <r>
    <x v="91"/>
    <x v="91"/>
    <x v="0"/>
    <x v="2"/>
    <x v="91"/>
  </r>
  <r>
    <x v="92"/>
    <x v="92"/>
    <x v="0"/>
    <x v="2"/>
    <x v="92"/>
  </r>
  <r>
    <x v="93"/>
    <x v="93"/>
    <x v="0"/>
    <x v="2"/>
    <x v="93"/>
  </r>
  <r>
    <x v="94"/>
    <x v="94"/>
    <x v="0"/>
    <x v="2"/>
    <x v="94"/>
  </r>
  <r>
    <x v="95"/>
    <x v="95"/>
    <x v="0"/>
    <x v="2"/>
    <x v="95"/>
  </r>
  <r>
    <x v="96"/>
    <x v="96"/>
    <x v="0"/>
    <x v="2"/>
    <x v="96"/>
  </r>
  <r>
    <x v="97"/>
    <x v="97"/>
    <x v="0"/>
    <x v="2"/>
    <x v="97"/>
  </r>
  <r>
    <x v="98"/>
    <x v="98"/>
    <x v="0"/>
    <x v="2"/>
    <x v="98"/>
  </r>
  <r>
    <x v="99"/>
    <x v="99"/>
    <x v="0"/>
    <x v="2"/>
    <x v="99"/>
  </r>
  <r>
    <x v="100"/>
    <x v="100"/>
    <x v="0"/>
    <x v="2"/>
    <x v="100"/>
  </r>
  <r>
    <x v="101"/>
    <x v="101"/>
    <x v="0"/>
    <x v="2"/>
    <x v="101"/>
  </r>
  <r>
    <x v="102"/>
    <x v="102"/>
    <x v="0"/>
    <x v="2"/>
    <x v="102"/>
  </r>
  <r>
    <x v="103"/>
    <x v="103"/>
    <x v="0"/>
    <x v="2"/>
    <x v="103"/>
  </r>
  <r>
    <x v="104"/>
    <x v="104"/>
    <x v="0"/>
    <x v="2"/>
    <x v="104"/>
  </r>
  <r>
    <x v="105"/>
    <x v="105"/>
    <x v="0"/>
    <x v="2"/>
    <x v="105"/>
  </r>
  <r>
    <x v="106"/>
    <x v="106"/>
    <x v="0"/>
    <x v="2"/>
    <x v="106"/>
  </r>
  <r>
    <x v="107"/>
    <x v="107"/>
    <x v="0"/>
    <x v="2"/>
    <x v="107"/>
  </r>
  <r>
    <x v="108"/>
    <x v="108"/>
    <x v="0"/>
    <x v="2"/>
    <x v="108"/>
  </r>
  <r>
    <x v="109"/>
    <x v="109"/>
    <x v="0"/>
    <x v="2"/>
    <x v="109"/>
  </r>
  <r>
    <x v="110"/>
    <x v="110"/>
    <x v="0"/>
    <x v="2"/>
    <x v="110"/>
  </r>
  <r>
    <x v="111"/>
    <x v="111"/>
    <x v="0"/>
    <x v="2"/>
    <x v="111"/>
  </r>
  <r>
    <x v="112"/>
    <x v="112"/>
    <x v="0"/>
    <x v="2"/>
    <x v="112"/>
  </r>
  <r>
    <x v="113"/>
    <x v="113"/>
    <x v="0"/>
    <x v="2"/>
    <x v="113"/>
  </r>
  <r>
    <x v="114"/>
    <x v="114"/>
    <x v="1"/>
    <x v="0"/>
    <x v="114"/>
  </r>
  <r>
    <x v="115"/>
    <x v="115"/>
    <x v="1"/>
    <x v="0"/>
    <x v="115"/>
  </r>
  <r>
    <x v="116"/>
    <x v="116"/>
    <x v="1"/>
    <x v="0"/>
    <x v="116"/>
  </r>
  <r>
    <x v="117"/>
    <x v="117"/>
    <x v="1"/>
    <x v="0"/>
    <x v="117"/>
  </r>
  <r>
    <x v="118"/>
    <x v="118"/>
    <x v="1"/>
    <x v="0"/>
    <x v="118"/>
  </r>
  <r>
    <x v="119"/>
    <x v="119"/>
    <x v="1"/>
    <x v="0"/>
    <x v="119"/>
  </r>
  <r>
    <x v="120"/>
    <x v="120"/>
    <x v="1"/>
    <x v="0"/>
    <x v="120"/>
  </r>
  <r>
    <x v="121"/>
    <x v="121"/>
    <x v="1"/>
    <x v="0"/>
    <x v="121"/>
  </r>
  <r>
    <x v="122"/>
    <x v="122"/>
    <x v="1"/>
    <x v="0"/>
    <x v="122"/>
  </r>
  <r>
    <x v="123"/>
    <x v="123"/>
    <x v="1"/>
    <x v="0"/>
    <x v="123"/>
  </r>
  <r>
    <x v="124"/>
    <x v="124"/>
    <x v="1"/>
    <x v="0"/>
    <x v="124"/>
  </r>
  <r>
    <x v="125"/>
    <x v="125"/>
    <x v="1"/>
    <x v="0"/>
    <x v="125"/>
  </r>
  <r>
    <x v="126"/>
    <x v="126"/>
    <x v="1"/>
    <x v="0"/>
    <x v="126"/>
  </r>
  <r>
    <x v="127"/>
    <x v="127"/>
    <x v="1"/>
    <x v="0"/>
    <x v="127"/>
  </r>
  <r>
    <x v="128"/>
    <x v="128"/>
    <x v="1"/>
    <x v="0"/>
    <x v="128"/>
  </r>
  <r>
    <x v="129"/>
    <x v="129"/>
    <x v="1"/>
    <x v="0"/>
    <x v="129"/>
  </r>
  <r>
    <x v="130"/>
    <x v="130"/>
    <x v="1"/>
    <x v="0"/>
    <x v="130"/>
  </r>
  <r>
    <x v="131"/>
    <x v="131"/>
    <x v="1"/>
    <x v="0"/>
    <x v="131"/>
  </r>
  <r>
    <x v="132"/>
    <x v="132"/>
    <x v="1"/>
    <x v="0"/>
    <x v="132"/>
  </r>
  <r>
    <x v="133"/>
    <x v="133"/>
    <x v="1"/>
    <x v="0"/>
    <x v="133"/>
  </r>
  <r>
    <x v="134"/>
    <x v="134"/>
    <x v="1"/>
    <x v="0"/>
    <x v="134"/>
  </r>
  <r>
    <x v="135"/>
    <x v="135"/>
    <x v="1"/>
    <x v="0"/>
    <x v="135"/>
  </r>
  <r>
    <x v="136"/>
    <x v="136"/>
    <x v="1"/>
    <x v="0"/>
    <x v="136"/>
  </r>
  <r>
    <x v="137"/>
    <x v="137"/>
    <x v="1"/>
    <x v="0"/>
    <x v="137"/>
  </r>
  <r>
    <x v="138"/>
    <x v="138"/>
    <x v="1"/>
    <x v="0"/>
    <x v="138"/>
  </r>
  <r>
    <x v="139"/>
    <x v="139"/>
    <x v="1"/>
    <x v="0"/>
    <x v="139"/>
  </r>
  <r>
    <x v="140"/>
    <x v="140"/>
    <x v="1"/>
    <x v="0"/>
    <x v="140"/>
  </r>
  <r>
    <x v="141"/>
    <x v="141"/>
    <x v="1"/>
    <x v="0"/>
    <x v="141"/>
  </r>
  <r>
    <x v="142"/>
    <x v="142"/>
    <x v="1"/>
    <x v="0"/>
    <x v="142"/>
  </r>
  <r>
    <x v="143"/>
    <x v="143"/>
    <x v="1"/>
    <x v="0"/>
    <x v="143"/>
  </r>
  <r>
    <x v="144"/>
    <x v="144"/>
    <x v="1"/>
    <x v="0"/>
    <x v="144"/>
  </r>
  <r>
    <x v="145"/>
    <x v="145"/>
    <x v="1"/>
    <x v="0"/>
    <x v="145"/>
  </r>
  <r>
    <x v="146"/>
    <x v="146"/>
    <x v="1"/>
    <x v="0"/>
    <x v="146"/>
  </r>
  <r>
    <x v="147"/>
    <x v="147"/>
    <x v="1"/>
    <x v="0"/>
    <x v="147"/>
  </r>
  <r>
    <x v="148"/>
    <x v="148"/>
    <x v="1"/>
    <x v="1"/>
    <x v="148"/>
  </r>
  <r>
    <x v="149"/>
    <x v="149"/>
    <x v="1"/>
    <x v="1"/>
    <x v="149"/>
  </r>
  <r>
    <x v="150"/>
    <x v="150"/>
    <x v="1"/>
    <x v="1"/>
    <x v="150"/>
  </r>
  <r>
    <x v="151"/>
    <x v="151"/>
    <x v="1"/>
    <x v="1"/>
    <x v="151"/>
  </r>
  <r>
    <x v="152"/>
    <x v="152"/>
    <x v="1"/>
    <x v="1"/>
    <x v="152"/>
  </r>
  <r>
    <x v="153"/>
    <x v="153"/>
    <x v="1"/>
    <x v="1"/>
    <x v="153"/>
  </r>
  <r>
    <x v="154"/>
    <x v="154"/>
    <x v="1"/>
    <x v="1"/>
    <x v="154"/>
  </r>
  <r>
    <x v="155"/>
    <x v="155"/>
    <x v="1"/>
    <x v="1"/>
    <x v="155"/>
  </r>
  <r>
    <x v="156"/>
    <x v="156"/>
    <x v="1"/>
    <x v="1"/>
    <x v="156"/>
  </r>
  <r>
    <x v="157"/>
    <x v="157"/>
    <x v="1"/>
    <x v="1"/>
    <x v="157"/>
  </r>
  <r>
    <x v="158"/>
    <x v="158"/>
    <x v="1"/>
    <x v="1"/>
    <x v="158"/>
  </r>
  <r>
    <x v="159"/>
    <x v="159"/>
    <x v="1"/>
    <x v="1"/>
    <x v="159"/>
  </r>
  <r>
    <x v="160"/>
    <x v="160"/>
    <x v="1"/>
    <x v="1"/>
    <x v="160"/>
  </r>
  <r>
    <x v="161"/>
    <x v="161"/>
    <x v="1"/>
    <x v="1"/>
    <x v="161"/>
  </r>
  <r>
    <x v="162"/>
    <x v="162"/>
    <x v="1"/>
    <x v="1"/>
    <x v="162"/>
  </r>
  <r>
    <x v="163"/>
    <x v="163"/>
    <x v="1"/>
    <x v="1"/>
    <x v="163"/>
  </r>
  <r>
    <x v="164"/>
    <x v="164"/>
    <x v="1"/>
    <x v="1"/>
    <x v="164"/>
  </r>
  <r>
    <x v="165"/>
    <x v="165"/>
    <x v="1"/>
    <x v="1"/>
    <x v="165"/>
  </r>
  <r>
    <x v="166"/>
    <x v="166"/>
    <x v="1"/>
    <x v="1"/>
    <x v="166"/>
  </r>
  <r>
    <x v="167"/>
    <x v="167"/>
    <x v="1"/>
    <x v="1"/>
    <x v="167"/>
  </r>
  <r>
    <x v="168"/>
    <x v="168"/>
    <x v="1"/>
    <x v="1"/>
    <x v="168"/>
  </r>
  <r>
    <x v="169"/>
    <x v="169"/>
    <x v="1"/>
    <x v="2"/>
    <x v="169"/>
  </r>
  <r>
    <x v="170"/>
    <x v="170"/>
    <x v="1"/>
    <x v="2"/>
    <x v="170"/>
  </r>
  <r>
    <x v="171"/>
    <x v="171"/>
    <x v="1"/>
    <x v="2"/>
    <x v="171"/>
  </r>
  <r>
    <x v="172"/>
    <x v="172"/>
    <x v="1"/>
    <x v="2"/>
    <x v="172"/>
  </r>
  <r>
    <x v="173"/>
    <x v="173"/>
    <x v="1"/>
    <x v="2"/>
    <x v="173"/>
  </r>
  <r>
    <x v="174"/>
    <x v="174"/>
    <x v="1"/>
    <x v="2"/>
    <x v="174"/>
  </r>
  <r>
    <x v="175"/>
    <x v="175"/>
    <x v="1"/>
    <x v="2"/>
    <x v="175"/>
  </r>
  <r>
    <x v="176"/>
    <x v="176"/>
    <x v="1"/>
    <x v="2"/>
    <x v="176"/>
  </r>
  <r>
    <x v="177"/>
    <x v="177"/>
    <x v="1"/>
    <x v="2"/>
    <x v="177"/>
  </r>
  <r>
    <x v="178"/>
    <x v="178"/>
    <x v="1"/>
    <x v="2"/>
    <x v="178"/>
  </r>
  <r>
    <x v="179"/>
    <x v="179"/>
    <x v="1"/>
    <x v="2"/>
    <x v="179"/>
  </r>
  <r>
    <x v="180"/>
    <x v="180"/>
    <x v="1"/>
    <x v="2"/>
    <x v="180"/>
  </r>
  <r>
    <x v="181"/>
    <x v="181"/>
    <x v="1"/>
    <x v="2"/>
    <x v="181"/>
  </r>
  <r>
    <x v="182"/>
    <x v="182"/>
    <x v="1"/>
    <x v="2"/>
    <x v="182"/>
  </r>
  <r>
    <x v="183"/>
    <x v="183"/>
    <x v="1"/>
    <x v="2"/>
    <x v="183"/>
  </r>
  <r>
    <x v="184"/>
    <x v="184"/>
    <x v="1"/>
    <x v="2"/>
    <x v="184"/>
  </r>
  <r>
    <x v="185"/>
    <x v="185"/>
    <x v="1"/>
    <x v="2"/>
    <x v="185"/>
  </r>
  <r>
    <x v="186"/>
    <x v="186"/>
    <x v="1"/>
    <x v="2"/>
    <x v="186"/>
  </r>
  <r>
    <x v="187"/>
    <x v="187"/>
    <x v="1"/>
    <x v="2"/>
    <x v="187"/>
  </r>
  <r>
    <x v="188"/>
    <x v="188"/>
    <x v="1"/>
    <x v="2"/>
    <x v="188"/>
  </r>
  <r>
    <x v="189"/>
    <x v="189"/>
    <x v="1"/>
    <x v="2"/>
    <x v="189"/>
  </r>
  <r>
    <x v="190"/>
    <x v="190"/>
    <x v="1"/>
    <x v="2"/>
    <x v="190"/>
  </r>
  <r>
    <x v="191"/>
    <x v="191"/>
    <x v="1"/>
    <x v="2"/>
    <x v="191"/>
  </r>
  <r>
    <x v="192"/>
    <x v="192"/>
    <x v="1"/>
    <x v="2"/>
    <x v="192"/>
  </r>
  <r>
    <x v="193"/>
    <x v="193"/>
    <x v="1"/>
    <x v="2"/>
    <x v="193"/>
  </r>
  <r>
    <x v="194"/>
    <x v="194"/>
    <x v="1"/>
    <x v="2"/>
    <x v="194"/>
  </r>
  <r>
    <x v="195"/>
    <x v="195"/>
    <x v="2"/>
    <x v="0"/>
    <x v="195"/>
  </r>
  <r>
    <x v="196"/>
    <x v="196"/>
    <x v="2"/>
    <x v="0"/>
    <x v="196"/>
  </r>
  <r>
    <x v="197"/>
    <x v="197"/>
    <x v="2"/>
    <x v="0"/>
    <x v="197"/>
  </r>
  <r>
    <x v="198"/>
    <x v="198"/>
    <x v="2"/>
    <x v="0"/>
    <x v="198"/>
  </r>
  <r>
    <x v="199"/>
    <x v="199"/>
    <x v="2"/>
    <x v="0"/>
    <x v="199"/>
  </r>
  <r>
    <x v="200"/>
    <x v="200"/>
    <x v="2"/>
    <x v="0"/>
    <x v="200"/>
  </r>
  <r>
    <x v="201"/>
    <x v="201"/>
    <x v="2"/>
    <x v="0"/>
    <x v="201"/>
  </r>
  <r>
    <x v="202"/>
    <x v="202"/>
    <x v="2"/>
    <x v="0"/>
    <x v="202"/>
  </r>
  <r>
    <x v="203"/>
    <x v="203"/>
    <x v="2"/>
    <x v="0"/>
    <x v="203"/>
  </r>
  <r>
    <x v="204"/>
    <x v="204"/>
    <x v="2"/>
    <x v="0"/>
    <x v="204"/>
  </r>
  <r>
    <x v="205"/>
    <x v="205"/>
    <x v="2"/>
    <x v="0"/>
    <x v="205"/>
  </r>
  <r>
    <x v="206"/>
    <x v="206"/>
    <x v="2"/>
    <x v="0"/>
    <x v="206"/>
  </r>
  <r>
    <x v="207"/>
    <x v="207"/>
    <x v="2"/>
    <x v="0"/>
    <x v="207"/>
  </r>
  <r>
    <x v="208"/>
    <x v="208"/>
    <x v="2"/>
    <x v="0"/>
    <x v="208"/>
  </r>
  <r>
    <x v="209"/>
    <x v="209"/>
    <x v="2"/>
    <x v="0"/>
    <x v="209"/>
  </r>
  <r>
    <x v="210"/>
    <x v="210"/>
    <x v="2"/>
    <x v="0"/>
    <x v="210"/>
  </r>
  <r>
    <x v="211"/>
    <x v="211"/>
    <x v="2"/>
    <x v="0"/>
    <x v="211"/>
  </r>
  <r>
    <x v="212"/>
    <x v="212"/>
    <x v="2"/>
    <x v="0"/>
    <x v="212"/>
  </r>
  <r>
    <x v="213"/>
    <x v="213"/>
    <x v="2"/>
    <x v="1"/>
    <x v="213"/>
  </r>
  <r>
    <x v="214"/>
    <x v="214"/>
    <x v="2"/>
    <x v="1"/>
    <x v="214"/>
  </r>
  <r>
    <x v="215"/>
    <x v="215"/>
    <x v="2"/>
    <x v="1"/>
    <x v="215"/>
  </r>
  <r>
    <x v="216"/>
    <x v="216"/>
    <x v="2"/>
    <x v="1"/>
    <x v="216"/>
  </r>
  <r>
    <x v="217"/>
    <x v="217"/>
    <x v="2"/>
    <x v="1"/>
    <x v="217"/>
  </r>
  <r>
    <x v="218"/>
    <x v="218"/>
    <x v="2"/>
    <x v="1"/>
    <x v="218"/>
  </r>
  <r>
    <x v="219"/>
    <x v="219"/>
    <x v="2"/>
    <x v="1"/>
    <x v="219"/>
  </r>
  <r>
    <x v="220"/>
    <x v="220"/>
    <x v="2"/>
    <x v="1"/>
    <x v="220"/>
  </r>
  <r>
    <x v="221"/>
    <x v="221"/>
    <x v="2"/>
    <x v="1"/>
    <x v="221"/>
  </r>
  <r>
    <x v="222"/>
    <x v="222"/>
    <x v="2"/>
    <x v="1"/>
    <x v="222"/>
  </r>
  <r>
    <x v="223"/>
    <x v="223"/>
    <x v="2"/>
    <x v="1"/>
    <x v="223"/>
  </r>
  <r>
    <x v="224"/>
    <x v="224"/>
    <x v="2"/>
    <x v="1"/>
    <x v="224"/>
  </r>
  <r>
    <x v="225"/>
    <x v="225"/>
    <x v="2"/>
    <x v="2"/>
    <x v="225"/>
  </r>
  <r>
    <x v="226"/>
    <x v="226"/>
    <x v="2"/>
    <x v="2"/>
    <x v="226"/>
  </r>
  <r>
    <x v="227"/>
    <x v="227"/>
    <x v="2"/>
    <x v="2"/>
    <x v="227"/>
  </r>
  <r>
    <x v="228"/>
    <x v="228"/>
    <x v="2"/>
    <x v="2"/>
    <x v="228"/>
  </r>
  <r>
    <x v="229"/>
    <x v="229"/>
    <x v="2"/>
    <x v="2"/>
    <x v="229"/>
  </r>
  <r>
    <x v="230"/>
    <x v="230"/>
    <x v="2"/>
    <x v="2"/>
    <x v="230"/>
  </r>
  <r>
    <x v="231"/>
    <x v="231"/>
    <x v="2"/>
    <x v="2"/>
    <x v="231"/>
  </r>
  <r>
    <x v="232"/>
    <x v="232"/>
    <x v="2"/>
    <x v="2"/>
    <x v="232"/>
  </r>
  <r>
    <x v="233"/>
    <x v="233"/>
    <x v="2"/>
    <x v="2"/>
    <x v="233"/>
  </r>
  <r>
    <x v="234"/>
    <x v="234"/>
    <x v="2"/>
    <x v="2"/>
    <x v="234"/>
  </r>
  <r>
    <x v="235"/>
    <x v="235"/>
    <x v="2"/>
    <x v="2"/>
    <x v="235"/>
  </r>
  <r>
    <x v="236"/>
    <x v="236"/>
    <x v="2"/>
    <x v="2"/>
    <x v="2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rowGrandTotals="0" colGrandTotals="0" compact="0" indent="0" outline="1" compactData="0" outlineData="1" showDrill="1" multipleFieldFilters="0">
  <location ref="A22:C42" firstHeaderRow="0" firstDataRow="1" firstDataCol="1"/>
  <pivotFields count="6">
    <pivotField axis="axisRow" compact="0" sortType="descending" showAll="0">
      <items count="21">
        <item x="10"/>
        <item x="16"/>
        <item x="11"/>
        <item x="0"/>
        <item x="18"/>
        <item x="1"/>
        <item x="2"/>
        <item x="13"/>
        <item x="14"/>
        <item x="3"/>
        <item x="8"/>
        <item x="4"/>
        <item x="15"/>
        <item x="9"/>
        <item x="17"/>
        <item x="12"/>
        <item x="5"/>
        <item x="19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38">
        <item x="0"/>
        <item x="128"/>
        <item x="221"/>
        <item x="7"/>
        <item x="194"/>
        <item x="159"/>
        <item x="142"/>
        <item x="193"/>
        <item x="236"/>
        <item x="19"/>
        <item x="58"/>
        <item x="63"/>
        <item x="223"/>
        <item x="59"/>
        <item x="8"/>
        <item x="45"/>
        <item x="4"/>
        <item x="33"/>
        <item x="15"/>
        <item x="201"/>
        <item x="197"/>
        <item x="169"/>
        <item x="204"/>
        <item x="102"/>
        <item x="40"/>
        <item x="99"/>
        <item x="188"/>
        <item x="153"/>
        <item x="150"/>
        <item x="107"/>
        <item x="160"/>
        <item x="154"/>
        <item x="232"/>
        <item x="192"/>
        <item x="97"/>
        <item x="53"/>
        <item x="222"/>
        <item x="41"/>
        <item x="52"/>
        <item x="17"/>
        <item x="212"/>
        <item x="113"/>
        <item x="210"/>
        <item x="230"/>
        <item x="79"/>
        <item x="103"/>
        <item x="133"/>
        <item x="51"/>
        <item x="131"/>
        <item x="29"/>
        <item x="100"/>
        <item x="14"/>
        <item x="89"/>
        <item x="65"/>
        <item x="85"/>
        <item x="202"/>
        <item x="235"/>
        <item x="27"/>
        <item x="185"/>
        <item x="225"/>
        <item x="55"/>
        <item x="26"/>
        <item x="42"/>
        <item x="68"/>
        <item x="143"/>
        <item x="9"/>
        <item x="196"/>
        <item x="101"/>
        <item x="32"/>
        <item x="129"/>
        <item x="172"/>
        <item x="90"/>
        <item x="158"/>
        <item x="213"/>
        <item x="156"/>
        <item x="12"/>
        <item x="46"/>
        <item x="195"/>
        <item x="20"/>
        <item x="37"/>
        <item x="208"/>
        <item x="47"/>
        <item x="95"/>
        <item x="141"/>
        <item x="30"/>
        <item x="186"/>
        <item x="86"/>
        <item x="111"/>
        <item x="165"/>
        <item x="162"/>
        <item x="164"/>
        <item x="48"/>
        <item x="64"/>
        <item x="130"/>
        <item x="124"/>
        <item x="56"/>
        <item x="227"/>
        <item x="49"/>
        <item x="180"/>
        <item x="21"/>
        <item x="5"/>
        <item x="28"/>
        <item x="1"/>
        <item x="34"/>
        <item x="120"/>
        <item x="179"/>
        <item x="147"/>
        <item x="209"/>
        <item x="38"/>
        <item x="139"/>
        <item x="145"/>
        <item x="70"/>
        <item x="105"/>
        <item x="187"/>
        <item x="140"/>
        <item x="106"/>
        <item x="220"/>
        <item x="121"/>
        <item x="205"/>
        <item x="13"/>
        <item x="170"/>
        <item x="22"/>
        <item x="134"/>
        <item x="16"/>
        <item x="127"/>
        <item x="146"/>
        <item x="18"/>
        <item x="122"/>
        <item x="166"/>
        <item x="203"/>
        <item x="23"/>
        <item x="176"/>
        <item x="110"/>
        <item x="115"/>
        <item x="43"/>
        <item x="199"/>
        <item x="87"/>
        <item x="93"/>
        <item x="2"/>
        <item x="151"/>
        <item x="182"/>
        <item x="123"/>
        <item x="104"/>
        <item x="98"/>
        <item x="108"/>
        <item x="135"/>
        <item x="229"/>
        <item x="206"/>
        <item x="181"/>
        <item x="119"/>
        <item x="163"/>
        <item x="10"/>
        <item x="11"/>
        <item x="155"/>
        <item x="66"/>
        <item x="125"/>
        <item x="214"/>
        <item x="136"/>
        <item x="92"/>
        <item x="138"/>
        <item x="207"/>
        <item x="88"/>
        <item x="171"/>
        <item x="114"/>
        <item x="78"/>
        <item x="190"/>
        <item x="62"/>
        <item x="6"/>
        <item x="83"/>
        <item x="228"/>
        <item x="226"/>
        <item x="191"/>
        <item x="94"/>
        <item x="116"/>
        <item x="117"/>
        <item x="74"/>
        <item x="173"/>
        <item x="175"/>
        <item x="54"/>
        <item x="231"/>
        <item x="71"/>
        <item x="161"/>
        <item x="137"/>
        <item x="149"/>
        <item x="211"/>
        <item x="215"/>
        <item x="77"/>
        <item x="80"/>
        <item x="216"/>
        <item x="157"/>
        <item x="183"/>
        <item x="178"/>
        <item x="198"/>
        <item x="82"/>
        <item x="69"/>
        <item x="219"/>
        <item x="126"/>
        <item x="84"/>
        <item x="31"/>
        <item x="67"/>
        <item x="72"/>
        <item x="200"/>
        <item x="174"/>
        <item x="112"/>
        <item x="57"/>
        <item x="217"/>
        <item x="75"/>
        <item x="144"/>
        <item x="24"/>
        <item x="167"/>
        <item x="184"/>
        <item x="39"/>
        <item x="3"/>
        <item x="81"/>
        <item x="73"/>
        <item x="233"/>
        <item x="177"/>
        <item x="25"/>
        <item x="152"/>
        <item x="76"/>
        <item x="132"/>
        <item x="60"/>
        <item x="148"/>
        <item x="224"/>
        <item x="168"/>
        <item x="118"/>
        <item x="35"/>
        <item x="36"/>
        <item x="96"/>
        <item x="91"/>
        <item x="50"/>
        <item x="218"/>
        <item x="61"/>
        <item x="109"/>
        <item x="189"/>
        <item x="234"/>
        <item x="44"/>
        <item t="default"/>
      </items>
    </pivotField>
    <pivotField compact="0" numFmtId="179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numFmtId="3" showAll="0">
      <items count="2809">
        <item x="170"/>
        <item x="2415"/>
        <item x="1839"/>
        <item x="2599"/>
        <item x="2048"/>
        <item x="2617"/>
        <item x="1339"/>
        <item x="2128"/>
        <item x="181"/>
        <item x="69"/>
        <item x="1525"/>
        <item x="5"/>
        <item x="2511"/>
        <item x="199"/>
        <item x="566"/>
        <item x="2525"/>
        <item x="2524"/>
        <item x="1974"/>
        <item x="2013"/>
        <item x="377"/>
        <item x="1759"/>
        <item x="1780"/>
        <item x="2009"/>
        <item x="296"/>
        <item x="2143"/>
        <item x="1891"/>
        <item x="1110"/>
        <item x="1185"/>
        <item x="269"/>
        <item x="14"/>
        <item x="1980"/>
        <item x="1304"/>
        <item x="1109"/>
        <item x="2173"/>
        <item x="374"/>
        <item x="1776"/>
        <item x="1177"/>
        <item x="725"/>
        <item x="854"/>
        <item x="1892"/>
        <item x="2379"/>
        <item x="2203"/>
        <item x="4"/>
        <item x="1014"/>
        <item x="595"/>
        <item x="2662"/>
        <item x="609"/>
        <item x="961"/>
        <item x="1550"/>
        <item x="1364"/>
        <item x="1028"/>
        <item x="1105"/>
        <item x="176"/>
        <item x="1960"/>
        <item x="414"/>
        <item x="1866"/>
        <item x="2335"/>
        <item x="2736"/>
        <item x="690"/>
        <item x="723"/>
        <item x="1054"/>
        <item x="2739"/>
        <item x="1327"/>
        <item x="68"/>
        <item x="1455"/>
        <item x="1758"/>
        <item x="1901"/>
        <item x="1156"/>
        <item x="2802"/>
        <item x="2209"/>
        <item x="1814"/>
        <item x="1407"/>
        <item x="2096"/>
        <item x="2000"/>
        <item x="1512"/>
        <item x="436"/>
        <item x="171"/>
        <item x="42"/>
        <item x="2745"/>
        <item x="1625"/>
        <item x="1121"/>
        <item x="2106"/>
        <item x="286"/>
        <item x="1055"/>
        <item x="2616"/>
        <item x="117"/>
        <item x="373"/>
        <item x="2510"/>
        <item x="360"/>
        <item x="2381"/>
        <item x="1234"/>
        <item x="1790"/>
        <item x="2781"/>
        <item x="2159"/>
        <item x="2623"/>
        <item x="2789"/>
        <item x="2204"/>
        <item x="924"/>
        <item x="1687"/>
        <item x="1726"/>
        <item x="2737"/>
        <item x="2671"/>
        <item x="2412"/>
        <item x="1836"/>
        <item x="1273"/>
        <item x="2334"/>
        <item x="706"/>
        <item x="1935"/>
        <item x="250"/>
        <item x="1985"/>
        <item x="890"/>
        <item x="131"/>
        <item x="906"/>
        <item x="843"/>
        <item x="2164"/>
        <item x="336"/>
        <item x="1036"/>
        <item x="2059"/>
        <item x="1585"/>
        <item x="1472"/>
        <item x="1724"/>
        <item x="812"/>
        <item x="141"/>
        <item x="956"/>
        <item x="2094"/>
        <item x="1755"/>
        <item x="1073"/>
        <item x="1802"/>
        <item x="328"/>
        <item x="1573"/>
        <item x="689"/>
        <item x="1528"/>
        <item x="116"/>
        <item x="920"/>
        <item x="788"/>
        <item x="484"/>
        <item x="991"/>
        <item x="810"/>
        <item x="389"/>
        <item x="264"/>
        <item x="435"/>
        <item x="2323"/>
        <item x="811"/>
        <item x="1752"/>
        <item x="1423"/>
        <item x="2482"/>
        <item x="722"/>
        <item x="1087"/>
        <item x="1900"/>
        <item x="1638"/>
        <item x="1085"/>
        <item x="1050"/>
        <item x="2610"/>
        <item x="169"/>
        <item x="586"/>
        <item x="1319"/>
        <item x="763"/>
        <item x="842"/>
        <item x="1944"/>
        <item x="2369"/>
        <item x="575"/>
        <item x="955"/>
        <item x="1133"/>
        <item x="724"/>
        <item x="1315"/>
        <item x="26"/>
        <item x="2448"/>
        <item x="2327"/>
        <item x="1368"/>
        <item x="2413"/>
        <item x="2753"/>
        <item x="2047"/>
        <item x="1883"/>
        <item x="2359"/>
        <item x="2462"/>
        <item x="449"/>
        <item x="1406"/>
        <item x="677"/>
        <item x="2626"/>
        <item x="1519"/>
        <item x="1488"/>
        <item x="2292"/>
        <item x="483"/>
        <item x="1086"/>
        <item x="2577"/>
        <item x="13"/>
        <item x="849"/>
        <item x="2218"/>
        <item x="2202"/>
        <item x="2148"/>
        <item x="1213"/>
        <item x="1195"/>
        <item x="1698"/>
        <item x="1159"/>
        <item x="833"/>
        <item x="119"/>
        <item x="1450"/>
        <item x="411"/>
        <item x="1722"/>
        <item x="864"/>
        <item x="2757"/>
        <item x="957"/>
        <item x="858"/>
        <item x="1688"/>
        <item x="83"/>
        <item x="1825"/>
        <item x="1123"/>
        <item x="802"/>
        <item x="728"/>
        <item x="2032"/>
        <item x="1524"/>
        <item x="108"/>
        <item x="994"/>
        <item x="1245"/>
        <item x="2763"/>
        <item x="2271"/>
        <item x="2118"/>
        <item x="984"/>
        <item x="765"/>
        <item x="133"/>
        <item x="2175"/>
        <item x="1477"/>
        <item x="285"/>
        <item x="656"/>
        <item x="1973"/>
        <item x="410"/>
        <item x="2629"/>
        <item x="1415"/>
        <item x="2758"/>
        <item x="84"/>
        <item x="2440"/>
        <item x="197"/>
        <item x="1690"/>
        <item x="2016"/>
        <item x="1259"/>
        <item x="2001"/>
        <item x="2801"/>
        <item x="1723"/>
        <item x="1063"/>
        <item x="574"/>
        <item x="2072"/>
        <item x="775"/>
        <item x="687"/>
        <item x="1004"/>
        <item x="1864"/>
        <item x="1376"/>
        <item x="200"/>
        <item x="1629"/>
        <item x="2261"/>
        <item x="2353"/>
        <item x="2449"/>
        <item x="1244"/>
        <item x="2088"/>
        <item x="2641"/>
        <item x="2252"/>
        <item x="1697"/>
        <item x="2609"/>
        <item x="2017"/>
        <item x="2194"/>
        <item x="1588"/>
        <item x="577"/>
        <item x="2628"/>
        <item x="2264"/>
        <item x="2552"/>
        <item x="2570"/>
        <item x="814"/>
        <item x="1456"/>
        <item x="2262"/>
        <item x="1680"/>
        <item x="1143"/>
        <item x="326"/>
        <item x="832"/>
        <item x="2360"/>
        <item x="1307"/>
        <item x="707"/>
        <item x="1796"/>
        <item x="1349"/>
        <item x="2288"/>
        <item x="1144"/>
        <item x="895"/>
        <item x="1489"/>
        <item x="804"/>
        <item x="1438"/>
        <item x="1574"/>
        <item x="134"/>
        <item x="2149"/>
        <item x="2163"/>
        <item x="2188"/>
        <item x="2368"/>
        <item x="830"/>
        <item x="865"/>
        <item x="1114"/>
        <item x="2087"/>
        <item x="645"/>
        <item x="2266"/>
        <item x="1653"/>
        <item x="2472"/>
        <item x="1681"/>
        <item x="1377"/>
        <item x="2174"/>
        <item x="611"/>
        <item x="2550"/>
        <item x="2104"/>
        <item x="2728"/>
        <item x="657"/>
        <item x="1424"/>
        <item x="829"/>
        <item x="1607"/>
        <item x="2"/>
        <item x="2172"/>
        <item x="1506"/>
        <item x="152"/>
        <item x="2329"/>
        <item x="2665"/>
        <item x="419"/>
        <item x="182"/>
        <item x="1071"/>
        <item x="2492"/>
        <item x="2060"/>
        <item x="1880"/>
        <item x="1617"/>
        <item x="401"/>
        <item x="309"/>
        <item x="538"/>
        <item x="368"/>
        <item x="1743"/>
        <item x="1583"/>
        <item x="298"/>
        <item x="243"/>
        <item x="1493"/>
        <item x="2664"/>
        <item x="1793"/>
        <item x="2581"/>
        <item x="624"/>
        <item x="641"/>
        <item x="2591"/>
        <item x="2186"/>
        <item x="2086"/>
        <item x="2011"/>
        <item x="416"/>
        <item x="2726"/>
        <item x="888"/>
        <item x="1878"/>
        <item x="688"/>
        <item x="1274"/>
        <item x="215"/>
        <item x="168"/>
        <item x="2192"/>
        <item x="1064"/>
        <item x="1890"/>
        <item x="1510"/>
        <item x="2091"/>
        <item x="1899"/>
        <item x="2759"/>
        <item x="1635"/>
        <item x="540"/>
        <item x="1760"/>
        <item x="106"/>
        <item x="2084"/>
        <item x="1255"/>
        <item x="2544"/>
        <item x="1132"/>
        <item x="936"/>
        <item x="803"/>
        <item x="2349"/>
        <item x="1029"/>
        <item x="2274"/>
        <item x="1425"/>
        <item x="1474"/>
        <item x="375"/>
        <item x="172"/>
        <item x="539"/>
        <item x="55"/>
        <item x="1794"/>
        <item x="2010"/>
        <item x="960"/>
        <item x="310"/>
        <item x="2777"/>
        <item x="983"/>
        <item x="32"/>
        <item x="2229"/>
        <item x="1016"/>
        <item x="2619"/>
        <item x="1882"/>
        <item x="1959"/>
        <item x="2725"/>
        <item x="2273"/>
        <item x="1378"/>
        <item x="692"/>
        <item x="1576"/>
        <item x="2231"/>
        <item x="2325"/>
        <item x="2441"/>
        <item x="1408"/>
        <item x="275"/>
        <item x="2232"/>
        <item x="1770"/>
        <item x="1232"/>
        <item x="198"/>
        <item x="121"/>
        <item x="392"/>
        <item x="726"/>
        <item x="1593"/>
        <item x="1310"/>
        <item x="82"/>
        <item x="2681"/>
        <item x="288"/>
        <item x="1098"/>
        <item x="1060"/>
        <item x="856"/>
        <item x="2107"/>
        <item x="1457"/>
        <item x="1006"/>
        <item x="245"/>
        <item x="1778"/>
        <item x="2740"/>
        <item x="2788"/>
        <item x="1549"/>
        <item x="399"/>
        <item x="1002"/>
        <item x="1679"/>
        <item x="2061"/>
        <item x="1919"/>
        <item x="1142"/>
        <item x="2404"/>
        <item x="2624"/>
        <item x="1559"/>
        <item x="1405"/>
        <item x="1505"/>
        <item x="894"/>
        <item x="234"/>
        <item x="1317"/>
        <item x="1039"/>
        <item x="322"/>
        <item x="132"/>
        <item x="2400"/>
        <item x="390"/>
        <item x="1902"/>
        <item x="248"/>
        <item x="565"/>
        <item x="1473"/>
        <item x="1586"/>
        <item x="889"/>
        <item x="508"/>
        <item x="1636"/>
        <item x="244"/>
        <item x="893"/>
        <item x="383"/>
        <item x="2602"/>
        <item x="2537"/>
        <item x="123"/>
        <item x="1397"/>
        <item x="2590"/>
        <item x="510"/>
        <item x="1999"/>
        <item x="1176"/>
        <item x="393"/>
        <item x="1013"/>
        <item x="1958"/>
        <item x="2779"/>
        <item x="2535"/>
        <item x="875"/>
        <item x="1088"/>
        <item x="846"/>
        <item x="218"/>
        <item x="1756"/>
        <item x="2338"/>
        <item x="2388"/>
        <item x="1275"/>
        <item x="2596"/>
        <item x="2567"/>
        <item x="576"/>
        <item x="122"/>
        <item x="1276"/>
        <item x="1709"/>
        <item x="2378"/>
        <item x="2727"/>
        <item x="1768"/>
        <item x="2464"/>
        <item x="2423"/>
        <item x="2070"/>
        <item x="1837"/>
        <item x="1186"/>
        <item x="289"/>
        <item x="65"/>
        <item x="721"/>
        <item x="495"/>
        <item x="2421"/>
        <item x="2117"/>
        <item x="2447"/>
        <item x="602"/>
        <item x="2729"/>
        <item x="599"/>
        <item x="2565"/>
        <item x="1287"/>
        <item x="1789"/>
        <item x="1544"/>
        <item x="391"/>
        <item x="1881"/>
        <item x="1721"/>
        <item x="2110"/>
        <item x="1210"/>
        <item x="2521"/>
        <item x="2119"/>
        <item x="1871"/>
        <item x="1389"/>
        <item x="1874"/>
        <item x="1603"/>
        <item x="2682"/>
        <item x="1257"/>
        <item x="2437"/>
        <item x="1174"/>
        <item x="261"/>
        <item x="2220"/>
        <item x="2721"/>
        <item x="482"/>
        <item x="918"/>
        <item x="384"/>
        <item x="2803"/>
        <item x="233"/>
        <item x="1211"/>
        <item x="2230"/>
        <item x="587"/>
        <item x="1459"/>
        <item x="2030"/>
        <item x="1822"/>
        <item x="530"/>
        <item x="2655"/>
        <item x="528"/>
        <item x="1946"/>
        <item x="748"/>
        <item x="2402"/>
        <item x="1514"/>
        <item x="1998"/>
        <item x="418"/>
        <item x="2744"/>
        <item x="70"/>
        <item x="2085"/>
        <item x="847"/>
        <item x="81"/>
        <item x="1606"/>
        <item x="993"/>
        <item x="2792"/>
        <item x="1277"/>
        <item x="2337"/>
        <item x="1272"/>
        <item x="2071"/>
        <item x="1947"/>
        <item x="2120"/>
        <item x="1742"/>
        <item x="1779"/>
        <item x="749"/>
        <item x="907"/>
        <item x="347"/>
        <item x="1652"/>
        <item x="809"/>
        <item x="1731"/>
        <item x="1572"/>
        <item x="2446"/>
        <item x="1873"/>
        <item x="174"/>
        <item x="249"/>
        <item x="2339"/>
        <item x="1258"/>
        <item x="1226"/>
        <item x="1826"/>
        <item x="364"/>
        <item x="1291"/>
        <item x="2389"/>
        <item x="773"/>
        <item x="459"/>
        <item x="1136"/>
        <item x="1865"/>
        <item x="1005"/>
        <item x="1476"/>
        <item x="2536"/>
        <item x="1391"/>
        <item x="1399"/>
        <item x="541"/>
        <item x="2176"/>
        <item x="28"/>
        <item x="497"/>
        <item x="516"/>
        <item x="857"/>
        <item x="2031"/>
        <item x="1292"/>
        <item x="2155"/>
        <item x="1655"/>
        <item x="2708"/>
        <item x="2350"/>
        <item x="71"/>
        <item x="143"/>
        <item x="1290"/>
        <item x="678"/>
        <item x="2370"/>
        <item x="2670"/>
        <item x="1331"/>
        <item x="2761"/>
        <item x="434"/>
        <item x="1038"/>
        <item x="1390"/>
        <item x="762"/>
        <item x="2532"/>
        <item x="2652"/>
        <item x="1792"/>
        <item x="107"/>
        <item x="2445"/>
        <item x="1614"/>
        <item x="2790"/>
        <item x="2122"/>
        <item x="2352"/>
        <item x="667"/>
        <item x="2272"/>
        <item x="1579"/>
        <item x="487"/>
        <item x="1233"/>
        <item x="2372"/>
        <item x="1931"/>
        <item x="2569"/>
        <item x="750"/>
        <item x="2223"/>
        <item x="2105"/>
        <item x="1696"/>
        <item x="1229"/>
        <item x="1847"/>
        <item x="612"/>
        <item x="1306"/>
        <item x="1918"/>
        <item x="2208"/>
        <item x="625"/>
        <item x="1"/>
        <item x="265"/>
        <item x="2495"/>
        <item x="95"/>
        <item x="72"/>
        <item x="1478"/>
        <item x="1932"/>
        <item x="2791"/>
        <item x="2793"/>
        <item x="44"/>
        <item x="764"/>
        <item x="1767"/>
        <item x="1745"/>
        <item x="1838"/>
        <item x="2735"/>
        <item x="1058"/>
        <item x="1308"/>
        <item x="2219"/>
        <item x="1913"/>
        <item x="2361"/>
        <item x="1989"/>
        <item x="349"/>
        <item x="1309"/>
        <item x="2547"/>
        <item x="1347"/>
        <item x="1256"/>
        <item x="394"/>
        <item x="1507"/>
        <item x="1030"/>
        <item x="1769"/>
        <item x="552"/>
        <item x="388"/>
        <item x="1235"/>
        <item x="2187"/>
        <item x="365"/>
        <item x="2549"/>
        <item x="2620"/>
        <item x="1592"/>
        <item x="610"/>
        <item x="919"/>
        <item x="1099"/>
        <item x="2302"/>
        <item x="1816"/>
        <item x="2351"/>
        <item x="1108"/>
        <item x="183"/>
        <item x="1949"/>
        <item x="30"/>
        <item x="1637"/>
        <item x="2026"/>
        <item x="2595"/>
        <item x="2548"/>
        <item x="2653"/>
        <item x="2504"/>
        <item x="937"/>
        <item x="1664"/>
        <item x="2139"/>
        <item x="1107"/>
        <item x="2211"/>
        <item x="2473"/>
        <item x="1414"/>
        <item x="1926"/>
        <item x="402"/>
        <item x="626"/>
        <item x="1400"/>
        <item x="553"/>
        <item x="972"/>
        <item x="644"/>
        <item x="1615"/>
        <item x="2522"/>
        <item x="1243"/>
        <item x="1427"/>
        <item x="2534"/>
        <item x="1555"/>
        <item x="1475"/>
        <item x="57"/>
        <item x="909"/>
        <item x="15"/>
        <item x="2391"/>
        <item x="818"/>
        <item x="1744"/>
        <item x="1303"/>
        <item x="1987"/>
        <item x="1682"/>
        <item x="1164"/>
        <item x="1903"/>
        <item x="376"/>
        <item x="251"/>
        <item x="2390"/>
        <item x="321"/>
        <item x="751"/>
        <item x="554"/>
        <item x="1921"/>
        <item x="2625"/>
        <item x="1426"/>
        <item x="1803"/>
        <item x="2313"/>
        <item x="27"/>
        <item x="29"/>
        <item x="486"/>
        <item x="1113"/>
        <item x="789"/>
        <item x="1263"/>
        <item x="719"/>
        <item x="2095"/>
        <item x="1049"/>
        <item x="327"/>
        <item x="2144"/>
        <item x="2050"/>
        <item x="1872"/>
        <item x="1988"/>
        <item x="1575"/>
        <item x="2508"/>
        <item x="16"/>
        <item x="2303"/>
        <item x="896"/>
        <item x="386"/>
        <item x="1904"/>
        <item x="938"/>
        <item x="542"/>
        <item x="1527"/>
        <item x="813"/>
        <item x="1772"/>
        <item x="2403"/>
        <item x="2108"/>
        <item x="1465"/>
        <item x="1062"/>
        <item x="2695"/>
        <item x="2463"/>
        <item x="2293"/>
        <item x="270"/>
        <item x="398"/>
        <item x="1022"/>
        <item x="653"/>
        <item x="1732"/>
        <item x="1059"/>
        <item x="2014"/>
        <item x="1887"/>
        <item x="2305"/>
        <item x="1893"/>
        <item x="500"/>
        <item x="693"/>
        <item x="2568"/>
        <item x="571"/>
        <item x="2703"/>
        <item x="1437"/>
        <item x="1197"/>
        <item x="705"/>
        <item x="2207"/>
        <item x="959"/>
        <item x="668"/>
        <item x="1227"/>
        <item x="2147"/>
        <item x="481"/>
        <item x="563"/>
        <item x="1325"/>
        <item x="2618"/>
        <item x="2414"/>
        <item x="485"/>
        <item x="1015"/>
        <item x="2706"/>
        <item x="2408"/>
        <item x="1479"/>
        <item x="2354"/>
        <item x="2065"/>
        <item x="2505"/>
        <item x="287"/>
        <item x="300"/>
        <item x="1515"/>
        <item x="1172"/>
        <item x="992"/>
        <item x="588"/>
        <item x="422"/>
        <item x="282"/>
        <item x="2442"/>
        <item x="1580"/>
        <item x="2123"/>
        <item x="316"/>
        <item x="1318"/>
        <item x="312"/>
        <item x="1701"/>
        <item x="1922"/>
        <item x="1855"/>
        <item x="472"/>
        <item x="911"/>
        <item x="703"/>
        <item x="2760"/>
        <item x="786"/>
        <item x="339"/>
        <item x="1242"/>
        <item x="367"/>
        <item x="1710"/>
        <item x="2807"/>
        <item x="1782"/>
        <item x="1396"/>
        <item x="1494"/>
        <item x="787"/>
        <item x="958"/>
        <item x="1699"/>
        <item x="1212"/>
        <item x="2294"/>
        <item x="153"/>
        <item x="759"/>
        <item x="658"/>
        <item x="589"/>
        <item x="175"/>
        <item x="85"/>
        <item x="1560"/>
        <item x="268"/>
        <item x="995"/>
        <item x="1529"/>
        <item x="1630"/>
        <item x="1454"/>
        <item x="1824"/>
        <item x="1806"/>
        <item x="1686"/>
        <item x="2513"/>
        <item x="97"/>
        <item x="1711"/>
        <item x="2387"/>
        <item x="737"/>
        <item x="2593"/>
        <item x="1402"/>
        <item x="1330"/>
        <item x="2083"/>
        <item x="1587"/>
        <item x="19"/>
        <item x="2109"/>
        <item x="2499"/>
        <item x="2251"/>
        <item x="2189"/>
        <item x="880"/>
        <item x="2484"/>
        <item x="87"/>
        <item x="2304"/>
        <item x="471"/>
        <item x="2131"/>
        <item x="1666"/>
        <item x="679"/>
        <item x="501"/>
        <item x="987"/>
        <item x="1552"/>
        <item x="785"/>
        <item x="301"/>
        <item x="1795"/>
        <item x="922"/>
        <item x="1161"/>
        <item x="450"/>
        <item x="511"/>
        <item x="2780"/>
        <item x="2723"/>
        <item x="1401"/>
        <item x="299"/>
        <item x="986"/>
        <item x="1280"/>
        <item x="2485"/>
        <item x="985"/>
        <item x="1124"/>
        <item x="868"/>
        <item x="844"/>
        <item x="1640"/>
        <item x="1418"/>
        <item x="2496"/>
        <item x="1100"/>
        <item x="1305"/>
        <item x="1348"/>
        <item x="2794"/>
        <item x="1757"/>
        <item x="562"/>
        <item x="2185"/>
        <item x="1823"/>
        <item x="2663"/>
        <item x="1346"/>
        <item x="2494"/>
        <item x="732"/>
        <item x="1983"/>
        <item x="2161"/>
        <item x="2715"/>
        <item x="976"/>
        <item x="2795"/>
        <item x="1561"/>
        <item x="790"/>
        <item x="1862"/>
        <item x="970"/>
        <item x="1200"/>
        <item x="1374"/>
        <item x="238"/>
        <item x="746"/>
        <item x="1642"/>
        <item x="2654"/>
        <item x="217"/>
        <item x="614"/>
        <item x="129"/>
        <item x="350"/>
        <item x="1936"/>
        <item x="1678"/>
        <item x="2454"/>
        <item x="2226"/>
        <item x="370"/>
        <item x="836"/>
        <item x="671"/>
        <item x="1260"/>
        <item x="2052"/>
        <item x="1294"/>
        <item x="33"/>
        <item x="1943"/>
        <item x="2630"/>
        <item x="2291"/>
        <item x="2804"/>
        <item x="429"/>
        <item x="2483"/>
        <item x="2018"/>
        <item x="2312"/>
        <item x="876"/>
        <item x="1293"/>
        <item x="432"/>
        <item x="1116"/>
        <item x="627"/>
        <item x="1957"/>
        <item x="2015"/>
        <item x="1627"/>
        <item x="502"/>
        <item x="2724"/>
        <item x="2165"/>
        <item x="1639"/>
        <item x="1316"/>
        <item x="1556"/>
        <item x="252"/>
        <item x="186"/>
        <item x="1261"/>
        <item x="1246"/>
        <item x="669"/>
        <item x="1616"/>
        <item x="1920"/>
        <item x="601"/>
        <item x="1157"/>
        <item x="1811"/>
        <item x="1413"/>
        <item x="1997"/>
        <item x="2598"/>
        <item x="647"/>
        <item x="221"/>
        <item x="2734"/>
        <item x="2265"/>
        <item x="2138"/>
        <item x="2627"/>
        <item x="2380"/>
        <item x="561"/>
        <item x="2497"/>
        <item x="529"/>
        <item x="1264"/>
        <item x="2227"/>
        <item x="1545"/>
        <item x="2043"/>
        <item x="1111"/>
        <item x="596"/>
        <item x="1311"/>
        <item x="1247"/>
        <item x="1875"/>
        <item x="2582"/>
        <item x="2077"/>
        <item x="729"/>
        <item x="941"/>
        <item x="2205"/>
        <item x="930"/>
        <item x="1160"/>
        <item x="428"/>
        <item x="1889"/>
        <item x="460"/>
        <item x="1908"/>
        <item x="1827"/>
        <item x="1531"/>
        <item x="628"/>
        <item x="2688"/>
        <item x="1747"/>
        <item x="2253"/>
        <item x="323"/>
        <item x="2228"/>
        <item x="1075"/>
        <item x="2767"/>
        <item x="1320"/>
        <item x="1977"/>
        <item x="622"/>
        <item x="220"/>
        <item x="1138"/>
        <item x="1112"/>
        <item x="96"/>
        <item x="313"/>
        <item x="2636"/>
        <item x="978"/>
        <item x="694"/>
        <item x="1162"/>
        <item x="1090"/>
        <item x="649"/>
        <item x="1072"/>
        <item x="2254"/>
        <item x="1520"/>
        <item x="845"/>
        <item x="103"/>
        <item x="1353"/>
        <item x="2195"/>
        <item x="2685"/>
        <item x="2748"/>
        <item x="2235"/>
        <item x="2539"/>
        <item x="774"/>
        <item x="1484"/>
        <item x="1818"/>
        <item x="2355"/>
        <item x="1278"/>
        <item x="2451"/>
        <item x="2778"/>
        <item x="2371"/>
        <item x="1950"/>
        <item x="2267"/>
        <item x="928"/>
        <item x="2787"/>
        <item x="2747"/>
        <item x="929"/>
        <item x="1033"/>
        <item x="531"/>
        <item x="631"/>
        <item x="362"/>
        <item x="2558"/>
        <item x="1045"/>
        <item x="1961"/>
        <item x="2428"/>
        <item x="1730"/>
        <item x="1691"/>
        <item x="337"/>
        <item x="648"/>
        <item x="1984"/>
        <item x="1923"/>
        <item x="1380"/>
        <item x="1184"/>
        <item x="2177"/>
        <item x="1551"/>
        <item x="2775"/>
        <item x="1345"/>
        <item x="2397"/>
        <item x="800"/>
        <item x="453"/>
        <item x="2453"/>
        <item x="2008"/>
        <item x="2491"/>
        <item x="766"/>
        <item x="848"/>
        <item x="869"/>
        <item x="646"/>
        <item x="709"/>
        <item x="971"/>
        <item x="758"/>
        <item x="363"/>
        <item x="908"/>
        <item x="1708"/>
        <item x="2573"/>
        <item x="1599"/>
        <item x="2592"/>
        <item x="2638"/>
        <item x="1497"/>
        <item x="2121"/>
        <item x="2564"/>
        <item x="239"/>
        <item x="883"/>
        <item x="1199"/>
        <item x="2270"/>
        <item x="1337"/>
        <item x="1492"/>
        <item x="1741"/>
        <item x="527"/>
        <item x="1933"/>
        <item x="56"/>
        <item x="1915"/>
        <item x="2429"/>
        <item x="2656"/>
        <item x="1007"/>
        <item x="314"/>
        <item x="736"/>
        <item x="2608"/>
        <item x="1206"/>
        <item x="2461"/>
        <item x="2651"/>
        <item x="2034"/>
        <item x="2575"/>
        <item x="2693"/>
        <item x="421"/>
        <item x="400"/>
        <item x="831"/>
        <item x="185"/>
        <item x="2158"/>
        <item x="283"/>
        <item x="1879"/>
        <item x="266"/>
        <item x="1600"/>
        <item x="585"/>
        <item x="544"/>
        <item x="177"/>
        <item x="2201"/>
        <item x="2206"/>
        <item x="2318"/>
        <item x="100"/>
        <item x="2554"/>
        <item x="2583"/>
        <item x="2557"/>
        <item x="866"/>
        <item x="366"/>
        <item x="616"/>
        <item x="1667"/>
        <item x="396"/>
        <item x="840"/>
        <item x="1214"/>
        <item x="1023"/>
        <item x="2019"/>
        <item x="1017"/>
        <item x="2210"/>
        <item x="178"/>
        <item x="2520"/>
        <item x="1134"/>
        <item x="2642"/>
        <item x="1785"/>
        <item x="1906"/>
        <item x="555"/>
        <item x="1565"/>
        <item x="2512"/>
        <item x="2674"/>
        <item x="686"/>
        <item x="1224"/>
        <item x="54"/>
        <item x="1395"/>
        <item x="792"/>
        <item x="1805"/>
        <item x="1360"/>
        <item x="246"/>
        <item x="1094"/>
        <item x="564"/>
        <item x="913"/>
        <item x="935"/>
        <item x="2153"/>
        <item x="1496"/>
        <item x="760"/>
        <item x="1990"/>
        <item x="1702"/>
        <item x="6"/>
        <item x="2012"/>
        <item x="1329"/>
        <item x="2255"/>
        <item x="2382"/>
        <item x="1833"/>
        <item x="783"/>
        <item x="1231"/>
        <item x="825"/>
        <item x="1540"/>
        <item x="1057"/>
        <item x="1453"/>
        <item x="2782"/>
        <item x="2601"/>
        <item x="2443"/>
        <item x="567"/>
        <item x="1125"/>
        <item x="1783"/>
        <item x="2197"/>
        <item x="109"/>
        <item x="1205"/>
        <item x="1632"/>
        <item x="2051"/>
        <item x="509"/>
        <item x="643"/>
        <item x="2649"/>
        <item x="1801"/>
        <item x="1175"/>
        <item x="547"/>
        <item x="224"/>
        <item x="130"/>
        <item x="629"/>
        <item x="2507"/>
        <item x="2450"/>
        <item x="2056"/>
        <item x="1145"/>
        <item x="41"/>
        <item x="140"/>
        <item x="2632"/>
        <item x="2268"/>
        <item x="619"/>
        <item x="632"/>
        <item x="822"/>
        <item x="1910"/>
        <item x="879"/>
        <item x="680"/>
        <item x="910"/>
        <item x="166"/>
        <item x="1404"/>
        <item x="947"/>
        <item x="954"/>
        <item x="311"/>
        <item x="2556"/>
        <item x="1501"/>
        <item x="1791"/>
        <item x="236"/>
        <item x="1461"/>
        <item x="1216"/>
        <item x="2741"/>
        <item x="1168"/>
        <item x="1749"/>
        <item x="603"/>
        <item x="2712"/>
        <item x="1051"/>
        <item x="1945"/>
        <item x="489"/>
        <item x="2240"/>
        <item x="1302"/>
        <item x="111"/>
        <item x="1854"/>
        <item x="2233"/>
        <item x="1468"/>
        <item x="2531"/>
        <item x="1591"/>
        <item x="1654"/>
        <item x="2243"/>
        <item x="67"/>
        <item x="1191"/>
        <item x="2347"/>
        <item x="1799"/>
        <item x="861"/>
        <item x="776"/>
        <item x="2493"/>
        <item x="1885"/>
        <item x="720"/>
        <item x="165"/>
        <item x="1009"/>
        <item x="1321"/>
        <item x="2612"/>
        <item x="158"/>
        <item x="2039"/>
        <item x="2319"/>
        <item x="184"/>
        <item x="2705"/>
        <item x="835"/>
        <item x="1948"/>
        <item x="229"/>
        <item x="2075"/>
        <item x="203"/>
        <item x="969"/>
        <item x="2092"/>
        <item x="782"/>
        <item x="1037"/>
        <item x="272"/>
        <item x="2289"/>
        <item x="1804"/>
        <item x="881"/>
        <item x="2102"/>
        <item x="1044"/>
        <item x="420"/>
        <item x="2133"/>
        <item x="2673"/>
        <item x="1230"/>
        <item x="1598"/>
        <item x="2738"/>
        <item x="2439"/>
        <item x="815"/>
        <item x="1942"/>
        <item x="1620"/>
        <item x="40"/>
        <item x="1773"/>
        <item x="2424"/>
        <item x="412"/>
        <item x="1382"/>
        <item x="247"/>
        <item x="2393"/>
        <item x="700"/>
        <item x="1628"/>
        <item x="1285"/>
        <item x="1228"/>
        <item x="2384"/>
        <item x="1298"/>
        <item x="451"/>
        <item x="385"/>
        <item x="2307"/>
        <item x="324"/>
        <item x="2125"/>
        <item x="1403"/>
        <item x="1571"/>
        <item x="584"/>
        <item x="2362"/>
        <item x="348"/>
        <item x="2475"/>
        <item x="1182"/>
        <item x="474"/>
        <item x="66"/>
        <item x="2768"/>
        <item x="148"/>
        <item x="1127"/>
        <item x="1416"/>
        <item x="207"/>
        <item x="1852"/>
        <item x="155"/>
        <item x="2704"/>
        <item x="1065"/>
        <item x="651"/>
        <item x="157"/>
        <item x="550"/>
        <item x="1237"/>
        <item x="2502"/>
        <item x="583"/>
        <item x="2438"/>
        <item x="1429"/>
        <item x="2613"/>
        <item x="532"/>
        <item x="2621"/>
        <item x="216"/>
        <item x="1677"/>
        <item x="338"/>
        <item x="1335"/>
        <item x="1517"/>
        <item x="756"/>
        <item x="2295"/>
        <item x="1846"/>
        <item x="473"/>
        <item x="2754"/>
        <item x="369"/>
        <item x="1053"/>
        <item x="1367"/>
        <item x="2433"/>
        <item x="2545"/>
        <item x="655"/>
        <item x="1912"/>
        <item x="1526"/>
        <item x="1845"/>
        <item x="1070"/>
        <item x="351"/>
        <item x="1774"/>
        <item x="1379"/>
        <item x="698"/>
        <item x="3"/>
        <item x="949"/>
        <item x="1043"/>
        <item x="2101"/>
        <item x="2770"/>
        <item x="45"/>
        <item x="1460"/>
        <item x="1340"/>
        <item x="1656"/>
        <item x="1458"/>
        <item x="2081"/>
        <item x="307"/>
        <item x="110"/>
        <item x="837"/>
        <item x="1810"/>
        <item x="2746"/>
        <item x="452"/>
        <item x="727"/>
        <item x="1975"/>
        <item x="600"/>
        <item x="623"/>
        <item x="2533"/>
        <item x="806"/>
        <item x="1137"/>
        <item x="752"/>
        <item x="1046"/>
        <item x="546"/>
        <item x="1786"/>
        <item x="2348"/>
        <item x="1704"/>
        <item x="378"/>
        <item x="594"/>
        <item x="1976"/>
        <item x="1853"/>
        <item x="1451"/>
        <item x="271"/>
        <item x="2002"/>
        <item x="744"/>
        <item x="1381"/>
        <item x="334"/>
        <item x="1010"/>
        <item x="439"/>
        <item x="137"/>
        <item x="1485"/>
        <item x="50"/>
        <item x="2466"/>
        <item x="147"/>
        <item x="860"/>
        <item x="226"/>
        <item x="1366"/>
        <item x="731"/>
        <item x="2063"/>
        <item x="1967"/>
        <item x="2587"/>
        <item x="1131"/>
        <item x="415"/>
        <item x="755"/>
        <item x="778"/>
        <item x="2331"/>
        <item x="1911"/>
        <item x="1074"/>
        <item x="2263"/>
        <item x="2275"/>
        <item x="2694"/>
        <item x="1332"/>
        <item x="816"/>
        <item x="2021"/>
        <item x="2405"/>
        <item x="2137"/>
        <item x="2588"/>
        <item x="2132"/>
        <item x="2222"/>
        <item x="114"/>
        <item x="1219"/>
        <item x="480"/>
        <item x="1434"/>
        <item x="2033"/>
        <item x="64"/>
        <item x="605"/>
        <item x="2003"/>
        <item x="2796"/>
        <item x="465"/>
        <item x="76"/>
        <item x="2696"/>
        <item x="2346"/>
        <item x="1480"/>
        <item x="1714"/>
        <item x="1964"/>
        <item x="867"/>
        <item x="235"/>
        <item x="1857"/>
        <item x="2551"/>
        <item x="499"/>
        <item x="1341"/>
        <item x="438"/>
        <item x="2509"/>
        <item x="2298"/>
        <item x="1553"/>
        <item x="1971"/>
        <item x="1608"/>
        <item x="381"/>
        <item x="1163"/>
        <item x="980"/>
        <item x="897"/>
        <item x="190"/>
        <item x="948"/>
        <item x="2191"/>
        <item x="232"/>
        <item x="708"/>
        <item x="545"/>
        <item x="695"/>
        <item x="2239"/>
        <item x="1201"/>
        <item x="921"/>
        <item x="2064"/>
        <item x="2373"/>
        <item x="2196"/>
        <item x="1546"/>
        <item x="408"/>
        <item x="1662"/>
        <item x="514"/>
        <item x="734"/>
        <item x="2460"/>
        <item x="1342"/>
        <item x="1068"/>
        <item x="2783"/>
        <item x="592"/>
        <item x="2259"/>
        <item x="2112"/>
        <item x="2750"/>
        <item x="981"/>
        <item x="1236"/>
        <item x="1619"/>
        <item x="1611"/>
        <item x="1897"/>
        <item x="2527"/>
        <item x="2661"/>
        <item x="1788"/>
        <item x="1223"/>
        <item x="666"/>
        <item x="2127"/>
        <item x="780"/>
        <item x="358"/>
        <item x="478"/>
        <item x="1672"/>
        <item x="2224"/>
        <item x="413"/>
        <item x="1464"/>
        <item x="1196"/>
        <item x="1040"/>
        <item x="1953"/>
        <item x="1644"/>
        <item x="1193"/>
        <item x="163"/>
        <item x="409"/>
        <item x="263"/>
        <item x="1490"/>
        <item x="253"/>
        <item x="604"/>
        <item x="2076"/>
        <item x="1155"/>
        <item x="850"/>
        <item x="1700"/>
        <item x="1147"/>
        <item x="1440"/>
        <item x="2193"/>
        <item x="120"/>
        <item x="2326"/>
        <item x="1972"/>
        <item x="1536"/>
        <item x="1895"/>
        <item x="1394"/>
        <item x="573"/>
        <item x="793"/>
        <item x="371"/>
        <item x="1869"/>
        <item x="1798"/>
        <item x="2152"/>
        <item x="10"/>
        <item x="2321"/>
        <item x="1439"/>
        <item x="2049"/>
        <item x="2452"/>
        <item x="805"/>
        <item x="2762"/>
        <item x="1122"/>
        <item x="1067"/>
        <item x="294"/>
        <item x="798"/>
        <item x="2310"/>
        <item x="1388"/>
        <item x="1543"/>
        <item x="2364"/>
        <item x="36"/>
        <item x="2766"/>
        <item x="2498"/>
        <item x="2644"/>
        <item x="446"/>
        <item x="1924"/>
        <item x="440"/>
        <item x="2488"/>
        <item x="22"/>
        <item x="1562"/>
        <item x="2029"/>
        <item x="2422"/>
        <item x="882"/>
        <item x="964"/>
        <item x="2142"/>
        <item x="998"/>
        <item x="1334"/>
        <item x="1288"/>
        <item x="887"/>
        <item x="2124"/>
        <item x="1813"/>
        <item x="2465"/>
        <item x="2419"/>
        <item x="963"/>
        <item x="932"/>
        <item x="1938"/>
        <item x="2181"/>
        <item x="1433"/>
        <item x="241"/>
        <item x="1217"/>
        <item x="1955"/>
        <item x="1850"/>
        <item x="2129"/>
        <item x="2190"/>
        <item x="2367"/>
        <item x="2308"/>
        <item x="2168"/>
        <item x="346"/>
        <item x="1982"/>
        <item x="2687"/>
        <item x="2672"/>
        <item x="2742"/>
        <item x="427"/>
        <item x="1178"/>
        <item x="498"/>
        <item x="1183"/>
        <item x="2719"/>
        <item x="424"/>
        <item x="2040"/>
        <item x="581"/>
        <item x="188"/>
        <item x="2080"/>
        <item x="2701"/>
        <item x="2559"/>
        <item x="1876"/>
        <item x="1410"/>
        <item x="710"/>
        <item x="1618"/>
        <item x="395"/>
        <item x="839"/>
        <item x="1295"/>
        <item x="105"/>
        <item x="1589"/>
        <item x="761"/>
        <item x="1431"/>
        <item x="973"/>
        <item x="2784"/>
        <item x="2103"/>
        <item x="2553"/>
        <item x="556"/>
        <item x="1668"/>
        <item x="2542"/>
        <item x="923"/>
        <item x="2699"/>
        <item x="1297"/>
        <item x="255"/>
        <item x="533"/>
        <item x="654"/>
        <item x="2578"/>
        <item x="777"/>
        <item x="99"/>
        <item x="735"/>
        <item x="1417"/>
        <item x="1951"/>
        <item x="873"/>
        <item x="448"/>
        <item x="791"/>
        <item x="2022"/>
        <item x="34"/>
        <item x="1631"/>
        <item x="2183"/>
        <item x="662"/>
        <item x="1271"/>
        <item x="2245"/>
        <item x="43"/>
        <item x="74"/>
        <item x="914"/>
        <item x="2314"/>
        <item x="1851"/>
        <item x="93"/>
        <item x="2474"/>
        <item x="2469"/>
        <item x="58"/>
        <item x="912"/>
        <item x="2677"/>
        <item x="946"/>
        <item x="1251"/>
        <item x="989"/>
        <item x="463"/>
        <item x="1840"/>
        <item x="578"/>
        <item x="1279"/>
        <item x="319"/>
        <item x="904"/>
        <item x="2162"/>
        <item x="2315"/>
        <item x="1894"/>
        <item x="1284"/>
        <item x="2732"/>
        <item x="931"/>
        <item x="2332"/>
        <item x="1986"/>
        <item x="1817"/>
        <item x="821"/>
        <item x="1018"/>
        <item x="1563"/>
        <item x="1286"/>
        <item x="745"/>
        <item x="2720"/>
        <item x="1369"/>
        <item x="2055"/>
        <item x="1820"/>
        <item x="35"/>
        <item x="1995"/>
        <item x="523"/>
        <item x="1194"/>
        <item x="2042"/>
        <item x="2755"/>
        <item x="423"/>
        <item x="2776"/>
        <item x="2398"/>
        <item x="212"/>
        <item x="2714"/>
        <item x="146"/>
        <item x="2316"/>
        <item x="1703"/>
        <item x="2057"/>
        <item x="308"/>
        <item x="403"/>
        <item x="1641"/>
        <item x="1188"/>
        <item x="80"/>
        <item x="2246"/>
        <item x="2234"/>
        <item x="1249"/>
        <item x="2082"/>
        <item x="2506"/>
        <item x="431"/>
        <item x="1753"/>
        <item x="1647"/>
        <item x="713"/>
        <item x="59"/>
        <item x="2053"/>
        <item x="86"/>
        <item x="231"/>
        <item x="1888"/>
        <item x="1052"/>
        <item x="1383"/>
        <item x="898"/>
        <item x="2707"/>
        <item x="817"/>
        <item x="1645"/>
        <item x="335"/>
        <item x="1843"/>
        <item x="2600"/>
        <item x="2503"/>
        <item x="387"/>
        <item x="1650"/>
        <item x="1091"/>
        <item x="2530"/>
        <item x="1725"/>
        <item x="661"/>
        <item x="407"/>
        <item x="535"/>
        <item x="1558"/>
        <item x="1338"/>
        <item x="1513"/>
        <item x="1267"/>
        <item x="1739"/>
        <item x="1296"/>
        <item x="1139"/>
        <item x="2037"/>
        <item x="2116"/>
        <item x="1056"/>
        <item x="934"/>
        <item x="543"/>
        <item x="1978"/>
        <item x="1692"/>
        <item x="219"/>
        <item x="1689"/>
        <item x="290"/>
        <item x="1198"/>
        <item x="2479"/>
        <item x="2058"/>
        <item x="2633"/>
        <item x="503"/>
        <item x="2366"/>
        <item x="63"/>
        <item x="167"/>
        <item x="2543"/>
        <item x="682"/>
        <item x="1299"/>
        <item x="943"/>
        <item x="2686"/>
        <item x="642"/>
        <item x="823"/>
        <item x="2566"/>
        <item x="685"/>
        <item x="2249"/>
        <item x="125"/>
        <item x="942"/>
        <item x="2333"/>
        <item x="1469"/>
        <item x="496"/>
        <item x="135"/>
        <item x="1151"/>
        <item x="2555"/>
        <item x="862"/>
        <item x="1521"/>
        <item x="2236"/>
        <item x="2156"/>
        <item x="405"/>
        <item x="670"/>
        <item x="291"/>
        <item x="77"/>
        <item x="2248"/>
        <item x="855"/>
        <item x="1542"/>
        <item x="1928"/>
        <item x="905"/>
        <item x="2733"/>
        <item x="2669"/>
        <item x="1535"/>
        <item x="142"/>
        <item x="318"/>
        <item x="635"/>
        <item x="891"/>
        <item x="1954"/>
        <item x="397"/>
        <item x="179"/>
        <item x="2278"/>
        <item x="2217"/>
        <item x="118"/>
        <item x="2411"/>
        <item x="1209"/>
        <item x="2420"/>
        <item x="61"/>
        <item x="2774"/>
        <item x="2045"/>
        <item x="162"/>
        <item x="2242"/>
        <item x="915"/>
        <item x="454"/>
        <item x="1831"/>
        <item x="115"/>
        <item x="2089"/>
        <item x="1355"/>
        <item x="1597"/>
        <item x="2006"/>
        <item x="506"/>
        <item x="0"/>
        <item x="1584"/>
        <item x="1003"/>
        <item x="223"/>
        <item x="1718"/>
        <item x="1012"/>
        <item x="1941"/>
        <item x="979"/>
        <item x="1969"/>
        <item x="1412"/>
        <item x="2667"/>
        <item x="1797"/>
        <item x="2363"/>
        <item x="1539"/>
        <item x="1498"/>
        <item x="1289"/>
        <item x="513"/>
        <item x="663"/>
        <item x="2250"/>
        <item x="863"/>
        <item x="740"/>
        <item x="2198"/>
        <item x="1352"/>
        <item x="1449"/>
        <item x="1220"/>
        <item x="144"/>
        <item x="2480"/>
        <item x="1503"/>
        <item x="1651"/>
        <item x="193"/>
        <item x="715"/>
        <item x="2365"/>
        <item x="1061"/>
        <item x="2099"/>
        <item x="1047"/>
        <item x="259"/>
        <item x="1750"/>
        <item x="180"/>
        <item x="278"/>
        <item x="1135"/>
        <item x="2594"/>
        <item x="1266"/>
        <item x="382"/>
        <item x="2540"/>
        <item x="160"/>
        <item x="772"/>
        <item x="2800"/>
        <item x="2340"/>
        <item x="1764"/>
        <item x="1612"/>
        <item x="966"/>
        <item x="1532"/>
        <item x="2238"/>
        <item x="2730"/>
        <item x="1530"/>
        <item x="2805"/>
        <item x="704"/>
        <item x="1956"/>
        <item x="1471"/>
        <item x="2426"/>
        <item x="899"/>
        <item x="225"/>
        <item x="1863"/>
        <item x="1860"/>
        <item x="620"/>
        <item x="242"/>
        <item x="1812"/>
        <item x="2280"/>
        <item x="691"/>
        <item x="1344"/>
        <item x="2658"/>
        <item x="1372"/>
        <item x="2160"/>
        <item x="1167"/>
        <item x="1916"/>
        <item x="2277"/>
        <item x="1962"/>
        <item x="559"/>
        <item x="1373"/>
        <item x="560"/>
        <item x="2141"/>
        <item x="2434"/>
        <item x="1333"/>
        <item x="968"/>
        <item x="2276"/>
        <item x="73"/>
        <item x="1082"/>
        <item x="1095"/>
        <item x="892"/>
        <item x="98"/>
        <item x="92"/>
        <item x="342"/>
        <item x="2769"/>
        <item x="2572"/>
        <item x="2416"/>
        <item x="1428"/>
        <item x="901"/>
        <item x="2614"/>
        <item x="2468"/>
        <item x="617"/>
        <item x="1238"/>
        <item x="2283"/>
        <item x="2425"/>
        <item x="202"/>
        <item x="1807"/>
        <item x="1166"/>
        <item x="1842"/>
        <item x="295"/>
        <item x="637"/>
        <item x="279"/>
        <item x="2324"/>
        <item x="2702"/>
        <item x="1265"/>
        <item x="1032"/>
        <item x="1466"/>
        <item x="2597"/>
        <item x="2180"/>
        <item x="2538"/>
        <item x="2166"/>
        <item x="796"/>
        <item x="2417"/>
        <item x="633"/>
        <item x="504"/>
        <item x="718"/>
        <item x="1158"/>
        <item x="1738"/>
        <item x="1844"/>
        <item x="1499"/>
        <item x="164"/>
        <item x="2603"/>
        <item x="2501"/>
        <item x="1624"/>
        <item x="597"/>
        <item x="768"/>
        <item x="1834"/>
        <item x="1746"/>
        <item x="2020"/>
        <item x="1102"/>
        <item x="48"/>
        <item x="2126"/>
        <item x="1268"/>
        <item x="2648"/>
        <item x="819"/>
        <item x="343"/>
        <item x="1581"/>
        <item x="1326"/>
        <item x="518"/>
        <item x="2500"/>
        <item x="1351"/>
        <item x="676"/>
        <item x="330"/>
        <item x="1343"/>
        <item x="1421"/>
        <item x="138"/>
        <item x="717"/>
        <item x="1436"/>
        <item x="2090"/>
        <item x="2342"/>
        <item x="1728"/>
        <item x="999"/>
        <item x="2698"/>
        <item x="17"/>
        <item x="211"/>
        <item x="2356"/>
        <item x="874"/>
        <item x="1610"/>
        <item x="2607"/>
        <item x="1508"/>
        <item x="548"/>
        <item x="1270"/>
        <item x="2036"/>
        <item x="650"/>
        <item x="2200"/>
        <item x="741"/>
        <item x="1041"/>
        <item x="2184"/>
        <item x="280"/>
        <item x="53"/>
        <item x="714"/>
        <item x="297"/>
        <item x="292"/>
        <item x="2213"/>
        <item x="1735"/>
        <item x="213"/>
        <item x="524"/>
        <item x="1511"/>
        <item x="1328"/>
        <item x="91"/>
        <item x="799"/>
        <item x="1354"/>
        <item x="127"/>
        <item x="2456"/>
        <item x="1626"/>
        <item x="331"/>
        <item x="2290"/>
        <item x="2643"/>
        <item x="953"/>
        <item x="2584"/>
        <item x="1518"/>
        <item x="2343"/>
        <item x="2244"/>
        <item x="227"/>
        <item x="173"/>
        <item x="638"/>
        <item x="315"/>
        <item x="1729"/>
        <item x="944"/>
        <item x="2650"/>
        <item x="355"/>
        <item x="521"/>
        <item x="877"/>
        <item x="47"/>
        <item x="1487"/>
        <item x="1375"/>
        <item x="1547"/>
        <item x="1384"/>
        <item x="1254"/>
        <item x="1870"/>
        <item x="136"/>
        <item x="2150"/>
        <item x="1781"/>
        <item x="2692"/>
        <item x="1578"/>
        <item x="1115"/>
        <item x="2589"/>
        <item x="797"/>
        <item x="2765"/>
        <item x="1940"/>
        <item x="696"/>
        <item x="230"/>
        <item x="406"/>
        <item x="2111"/>
        <item x="990"/>
        <item x="730"/>
        <item x="2690"/>
        <item x="254"/>
        <item x="1300"/>
        <item x="2256"/>
        <item x="568"/>
        <item x="2179"/>
        <item x="1240"/>
        <item x="2093"/>
        <item x="1877"/>
        <item x="2731"/>
        <item x="590"/>
        <item x="1084"/>
        <item x="1727"/>
        <item x="1444"/>
        <item x="1486"/>
        <item x="2683"/>
        <item x="458"/>
        <item x="1557"/>
        <item x="1671"/>
        <item x="739"/>
        <item x="441"/>
        <item x="757"/>
        <item x="1422"/>
        <item x="2406"/>
        <item x="1930"/>
        <item x="1208"/>
        <item x="2657"/>
        <item x="2199"/>
        <item x="2718"/>
        <item x="1076"/>
        <item x="1537"/>
        <item x="1020"/>
        <item x="779"/>
        <item x="12"/>
        <item x="1734"/>
        <item x="149"/>
        <item x="2135"/>
        <item x="1365"/>
        <item x="2529"/>
        <item x="156"/>
        <item x="945"/>
        <item x="2580"/>
        <item x="579"/>
        <item x="88"/>
        <item x="75"/>
        <item x="1716"/>
        <item x="621"/>
        <item x="808"/>
        <item x="1787"/>
        <item x="461"/>
        <item x="344"/>
        <item x="1541"/>
        <item x="1025"/>
        <item x="2169"/>
        <item x="2145"/>
        <item x="2394"/>
        <item x="1602"/>
        <item x="525"/>
        <item x="2066"/>
        <item x="1189"/>
        <item x="2743"/>
        <item x="2054"/>
        <item x="2027"/>
        <item x="2486"/>
        <item x="2407"/>
        <item x="1570"/>
        <item x="305"/>
        <item x="2722"/>
        <item x="801"/>
        <item x="38"/>
        <item x="491"/>
        <item x="2435"/>
        <item x="2167"/>
        <item x="2713"/>
        <item x="222"/>
        <item x="2357"/>
        <item x="807"/>
        <item x="1841"/>
        <item x="1717"/>
        <item x="37"/>
        <item x="754"/>
        <item x="2586"/>
        <item x="716"/>
        <item x="1129"/>
        <item x="2409"/>
        <item x="2300"/>
        <item x="1120"/>
        <item x="2395"/>
        <item x="1993"/>
        <item x="260"/>
        <item x="2182"/>
        <item x="2046"/>
        <item x="2074"/>
        <item x="90"/>
        <item x="871"/>
        <item x="1447"/>
        <item x="210"/>
        <item x="476"/>
        <item x="582"/>
        <item x="2212"/>
        <item x="997"/>
        <item x="1119"/>
        <item x="2606"/>
        <item x="2797"/>
        <item x="262"/>
        <item x="1609"/>
        <item x="1502"/>
        <item x="24"/>
        <item x="2459"/>
        <item x="2478"/>
        <item x="1808"/>
        <item x="974"/>
        <item x="1169"/>
        <item x="1435"/>
        <item x="1262"/>
        <item x="794"/>
        <item x="512"/>
        <item x="952"/>
        <item x="916"/>
        <item x="1992"/>
        <item x="1896"/>
        <item x="2605"/>
        <item x="2330"/>
        <item x="192"/>
        <item x="1715"/>
        <item x="1443"/>
        <item x="951"/>
        <item x="2680"/>
        <item x="1907"/>
        <item x="2615"/>
        <item x="124"/>
        <item x="2279"/>
        <item x="1356"/>
        <item x="1491"/>
        <item x="2518"/>
        <item x="962"/>
        <item x="60"/>
        <item x="853"/>
        <item x="1965"/>
        <item x="7"/>
        <item x="1031"/>
        <item x="1021"/>
        <item x="494"/>
        <item x="1830"/>
        <item x="1856"/>
        <item x="477"/>
        <item x="112"/>
        <item x="2257"/>
        <item x="462"/>
        <item x="1283"/>
        <item x="237"/>
        <item x="1848"/>
        <item x="2216"/>
        <item x="196"/>
        <item x="672"/>
        <item x="1482"/>
        <item x="379"/>
        <item x="2749"/>
        <item x="681"/>
        <item x="2579"/>
        <item x="2078"/>
        <item x="2260"/>
        <item x="733"/>
        <item x="1313"/>
        <item x="2637"/>
        <item x="1927"/>
        <item x="150"/>
        <item x="2574"/>
        <item x="1623"/>
        <item x="784"/>
        <item x="208"/>
        <item x="1601"/>
        <item x="2130"/>
        <item x="2328"/>
        <item x="1080"/>
        <item x="2035"/>
        <item x="467"/>
        <item x="1835"/>
        <item x="1463"/>
        <item x="1126"/>
        <item x="1089"/>
        <item x="549"/>
        <item x="2541"/>
        <item x="1281"/>
        <item x="2476"/>
        <item x="62"/>
        <item x="2178"/>
        <item x="977"/>
        <item x="1719"/>
        <item x="2392"/>
        <item x="885"/>
        <item x="1905"/>
        <item x="1669"/>
        <item x="2467"/>
        <item x="1069"/>
        <item x="1720"/>
        <item x="1026"/>
        <item x="1859"/>
        <item x="1613"/>
        <item x="1577"/>
        <item x="430"/>
        <item x="1661"/>
        <item x="2386"/>
        <item x="1736"/>
        <item x="2146"/>
        <item x="1314"/>
        <item x="2269"/>
        <item x="277"/>
        <item x="557"/>
        <item x="267"/>
        <item x="742"/>
        <item x="1914"/>
        <item x="2684"/>
        <item x="2709"/>
        <item x="1538"/>
        <item x="1777"/>
        <item x="1392"/>
        <item x="2375"/>
        <item x="1548"/>
        <item x="1448"/>
        <item x="526"/>
        <item x="2751"/>
        <item x="1621"/>
        <item x="139"/>
        <item x="442"/>
        <item x="2004"/>
        <item x="1963"/>
        <item x="89"/>
        <item x="2241"/>
        <item x="2666"/>
        <item x="372"/>
        <item x="933"/>
        <item x="2717"/>
        <item x="102"/>
        <item x="1643"/>
        <item x="104"/>
        <item x="2306"/>
        <item x="455"/>
        <item x="1441"/>
        <item x="1432"/>
        <item x="1754"/>
        <item x="878"/>
        <item x="1250"/>
        <item x="1564"/>
        <item x="884"/>
        <item x="417"/>
        <item x="1952"/>
        <item x="320"/>
        <item x="1939"/>
        <item x="827"/>
        <item x="1771"/>
        <item x="1221"/>
        <item x="1634"/>
        <item x="1800"/>
        <item x="2773"/>
        <item x="2115"/>
        <item x="464"/>
        <item x="1042"/>
        <item x="1000"/>
        <item x="2786"/>
        <item x="101"/>
        <item x="466"/>
        <item x="353"/>
        <item x="2068"/>
        <item x="204"/>
        <item x="490"/>
        <item x="2431"/>
        <item x="2526"/>
        <item x="1828"/>
        <item x="2157"/>
        <item x="433"/>
        <item x="684"/>
        <item x="2358"/>
        <item x="1358"/>
        <item x="128"/>
        <item x="2154"/>
        <item x="1079"/>
        <item x="1522"/>
        <item x="2430"/>
        <item x="52"/>
        <item x="1083"/>
        <item x="20"/>
        <item x="1322"/>
        <item x="870"/>
        <item x="1784"/>
        <item x="2806"/>
        <item x="965"/>
        <item x="352"/>
        <item x="2336"/>
        <item x="1929"/>
        <item x="18"/>
        <item x="1633"/>
        <item x="2007"/>
        <item x="1445"/>
        <item x="1066"/>
        <item x="1011"/>
        <item x="159"/>
        <item x="303"/>
        <item x="2237"/>
        <item x="470"/>
        <item x="1225"/>
        <item x="1968"/>
        <item x="1385"/>
        <item x="1048"/>
        <item x="886"/>
        <item x="675"/>
        <item x="240"/>
        <item x="1446"/>
        <item x="2710"/>
        <item x="1019"/>
        <item x="572"/>
        <item x="276"/>
        <item x="1648"/>
        <item x="615"/>
        <item x="1363"/>
        <item x="2297"/>
        <item x="982"/>
        <item x="456"/>
        <item x="2523"/>
        <item x="1659"/>
        <item x="2659"/>
        <item x="1008"/>
        <item x="1386"/>
        <item x="926"/>
        <item x="824"/>
        <item x="206"/>
        <item x="1649"/>
        <item x="1534"/>
        <item x="2062"/>
        <item x="1398"/>
        <item x="2345"/>
        <item x="94"/>
        <item x="522"/>
        <item x="2284"/>
        <item x="2798"/>
        <item x="636"/>
        <item x="2134"/>
        <item x="2645"/>
        <item x="2296"/>
        <item x="2377"/>
        <item x="2436"/>
        <item x="437"/>
        <item x="2455"/>
        <item x="593"/>
        <item x="488"/>
        <item x="613"/>
        <item x="2023"/>
        <item x="1604"/>
        <item x="570"/>
        <item x="1712"/>
        <item x="771"/>
        <item x="1187"/>
        <item x="711"/>
        <item x="699"/>
        <item x="940"/>
        <item x="1430"/>
        <item x="1713"/>
        <item x="1239"/>
        <item x="329"/>
        <item x="1001"/>
        <item x="697"/>
        <item x="1218"/>
        <item x="2489"/>
        <item x="1081"/>
        <item x="1868"/>
        <item x="664"/>
        <item x="1452"/>
        <item x="1097"/>
        <item x="1676"/>
        <item x="2041"/>
        <item x="2100"/>
        <item x="2576"/>
        <item x="1765"/>
        <item x="1675"/>
        <item x="1917"/>
        <item x="1103"/>
        <item x="306"/>
        <item x="1934"/>
        <item x="354"/>
        <item x="608"/>
        <item x="2385"/>
        <item x="712"/>
        <item x="191"/>
        <item x="903"/>
        <item x="2098"/>
        <item x="1462"/>
        <item x="1909"/>
        <item x="2639"/>
        <item x="1898"/>
        <item x="2700"/>
        <item x="1173"/>
        <item x="1181"/>
        <item x="2660"/>
        <item x="1481"/>
        <item x="2299"/>
        <item x="747"/>
        <item x="1815"/>
        <item x="151"/>
        <item x="1751"/>
        <item x="1595"/>
        <item x="2711"/>
        <item x="1695"/>
        <item x="154"/>
        <item x="380"/>
        <item x="187"/>
        <item x="341"/>
        <item x="1516"/>
        <item x="1171"/>
        <item x="1165"/>
        <item x="2427"/>
        <item x="1596"/>
        <item x="2444"/>
        <item x="2785"/>
        <item x="2546"/>
        <item x="1092"/>
        <item x="517"/>
        <item x="1190"/>
        <item x="1495"/>
        <item x="1733"/>
        <item x="293"/>
        <item x="2399"/>
        <item x="1594"/>
        <item x="1504"/>
        <item x="702"/>
        <item x="2225"/>
        <item x="640"/>
        <item x="507"/>
        <item x="1301"/>
        <item x="2025"/>
        <item x="492"/>
        <item x="2320"/>
        <item x="1568"/>
        <item x="2151"/>
        <item x="345"/>
        <item x="634"/>
        <item x="2067"/>
        <item x="443"/>
        <item x="834"/>
        <item x="1035"/>
        <item x="31"/>
        <item x="607"/>
        <item x="1312"/>
        <item x="2458"/>
        <item x="2764"/>
        <item x="23"/>
        <item x="520"/>
        <item x="1077"/>
        <item x="2221"/>
        <item x="2752"/>
        <item x="743"/>
        <item x="1646"/>
        <item x="1683"/>
        <item x="1809"/>
        <item x="201"/>
        <item x="2396"/>
        <item x="1674"/>
        <item x="519"/>
        <item x="2344"/>
        <item x="404"/>
        <item x="1248"/>
        <item x="2113"/>
        <item x="770"/>
        <item x="2689"/>
        <item x="2678"/>
        <item x="1128"/>
        <item x="161"/>
        <item x="1117"/>
        <item x="2374"/>
        <item x="258"/>
        <item x="630"/>
        <item x="665"/>
        <item x="753"/>
        <item x="967"/>
        <item x="537"/>
        <item x="2171"/>
        <item x="2005"/>
        <item x="2079"/>
        <item x="126"/>
        <item x="8"/>
        <item x="1149"/>
        <item x="2676"/>
        <item x="457"/>
        <item x="194"/>
        <item x="551"/>
        <item x="1673"/>
        <item x="332"/>
        <item x="1104"/>
        <item x="674"/>
        <item x="1241"/>
        <item x="580"/>
        <item x="2771"/>
        <item x="2073"/>
        <item x="2401"/>
        <item x="536"/>
        <item x="2571"/>
        <item x="2756"/>
        <item x="1361"/>
        <item x="1323"/>
        <item x="1207"/>
        <item x="1393"/>
        <item x="1707"/>
        <item x="1533"/>
        <item x="444"/>
        <item x="195"/>
        <item x="738"/>
        <item x="859"/>
        <item x="1170"/>
        <item x="2517"/>
        <item x="1192"/>
        <item x="515"/>
        <item x="1411"/>
        <item x="493"/>
        <item x="2528"/>
        <item x="1966"/>
        <item x="1523"/>
        <item x="1215"/>
        <item x="205"/>
        <item x="2214"/>
        <item x="2317"/>
        <item x="769"/>
        <item x="1140"/>
        <item x="900"/>
        <item x="359"/>
        <item x="2560"/>
        <item x="902"/>
        <item x="1202"/>
        <item x="2383"/>
        <item x="113"/>
        <item x="1362"/>
        <item x="1994"/>
        <item x="1566"/>
        <item x="1350"/>
        <item x="1370"/>
        <item x="1101"/>
        <item x="1483"/>
        <item x="591"/>
        <item x="1470"/>
        <item x="78"/>
        <item x="281"/>
        <item x="2691"/>
        <item x="1130"/>
        <item x="925"/>
        <item x="1148"/>
        <item x="781"/>
        <item x="257"/>
        <item x="558"/>
        <item x="304"/>
        <item x="767"/>
        <item x="325"/>
        <item x="21"/>
        <item x="917"/>
        <item x="1693"/>
        <item x="2286"/>
        <item x="2044"/>
        <item x="425"/>
        <item x="2477"/>
        <item x="214"/>
        <item x="79"/>
        <item x="356"/>
        <item x="256"/>
        <item x="1387"/>
        <item x="2611"/>
        <item x="2285"/>
        <item x="534"/>
        <item x="1663"/>
        <item x="1554"/>
        <item x="2487"/>
        <item x="11"/>
        <item x="1737"/>
        <item x="468"/>
        <item x="1078"/>
        <item x="1590"/>
        <item x="2432"/>
        <item x="1141"/>
        <item x="2516"/>
        <item x="1761"/>
        <item x="1179"/>
        <item x="2481"/>
        <item x="1152"/>
        <item x="469"/>
        <item x="9"/>
        <item x="1665"/>
        <item x="25"/>
        <item x="1150"/>
        <item x="1567"/>
        <item x="2622"/>
        <item x="2561"/>
        <item x="1861"/>
        <item x="1180"/>
        <item x="683"/>
        <item x="2647"/>
        <item x="1118"/>
        <item x="795"/>
        <item x="1269"/>
        <item x="1858"/>
        <item x="851"/>
        <item x="1467"/>
        <item x="46"/>
        <item x="1884"/>
        <item x="1371"/>
        <item x="996"/>
        <item x="302"/>
        <item x="1622"/>
        <item x="701"/>
        <item x="2668"/>
        <item x="2024"/>
        <item x="426"/>
        <item x="1684"/>
        <item x="1409"/>
        <item x="1979"/>
        <item x="841"/>
        <item x="1660"/>
        <item x="340"/>
        <item x="2038"/>
        <item x="2631"/>
        <item x="284"/>
        <item x="1996"/>
        <item x="2311"/>
        <item x="1359"/>
        <item x="1203"/>
        <item x="505"/>
        <item x="639"/>
        <item x="1991"/>
        <item x="2170"/>
        <item x="2322"/>
        <item x="2772"/>
        <item x="1420"/>
        <item x="660"/>
        <item x="1024"/>
        <item x="1705"/>
        <item x="1357"/>
        <item x="49"/>
        <item x="2114"/>
        <item x="1282"/>
        <item x="2136"/>
        <item x="618"/>
        <item x="2562"/>
        <item x="950"/>
        <item x="1034"/>
        <item x="2309"/>
        <item x="569"/>
        <item x="1762"/>
        <item x="447"/>
        <item x="1685"/>
        <item x="1153"/>
        <item x="273"/>
        <item x="2490"/>
        <item x="2410"/>
        <item x="988"/>
        <item x="2697"/>
        <item x="606"/>
        <item x="39"/>
        <item x="51"/>
        <item x="2514"/>
        <item x="357"/>
        <item x="1154"/>
        <item x="209"/>
        <item x="1582"/>
        <item x="361"/>
        <item x="2341"/>
        <item x="2640"/>
        <item x="1509"/>
        <item x="2519"/>
        <item x="1849"/>
        <item x="2140"/>
        <item x="1748"/>
        <item x="1658"/>
        <item x="2470"/>
        <item x="975"/>
        <item x="1605"/>
        <item x="2604"/>
        <item x="2376"/>
        <item x="2799"/>
        <item x="479"/>
        <item x="1832"/>
        <item x="1324"/>
        <item x="1419"/>
        <item x="673"/>
        <item x="2585"/>
        <item x="1981"/>
        <item x="1252"/>
        <item x="445"/>
        <item x="1694"/>
        <item x="828"/>
        <item x="1821"/>
        <item x="2646"/>
        <item x="652"/>
        <item x="1204"/>
        <item x="598"/>
        <item x="2563"/>
        <item x="145"/>
        <item x="1775"/>
        <item x="2457"/>
        <item x="1657"/>
        <item x="2215"/>
        <item x="1937"/>
        <item x="838"/>
        <item x="2301"/>
        <item x="1093"/>
        <item x="228"/>
        <item x="1819"/>
        <item x="927"/>
        <item x="1336"/>
        <item x="1222"/>
        <item x="1867"/>
        <item x="2281"/>
        <item x="2675"/>
        <item x="2247"/>
        <item x="2282"/>
        <item x="872"/>
        <item x="1027"/>
        <item x="1970"/>
        <item x="317"/>
        <item x="1670"/>
        <item x="2634"/>
        <item x="475"/>
        <item x="2418"/>
        <item x="852"/>
        <item x="1106"/>
        <item x="1253"/>
        <item x="1146"/>
        <item x="2069"/>
        <item x="659"/>
        <item x="2028"/>
        <item x="820"/>
        <item x="1740"/>
        <item x="1500"/>
        <item x="2679"/>
        <item x="1096"/>
        <item x="1829"/>
        <item x="1442"/>
        <item x="1706"/>
        <item x="2471"/>
        <item x="189"/>
        <item x="2716"/>
        <item x="2287"/>
        <item x="1763"/>
        <item x="2515"/>
        <item x="826"/>
        <item x="2097"/>
        <item x="274"/>
        <item x="1886"/>
        <item x="939"/>
        <item x="2635"/>
        <item x="333"/>
        <item x="1925"/>
        <item x="1569"/>
        <item x="2258"/>
        <item x="1766"/>
        <item t="default"/>
      </items>
    </pivotField>
    <pivotField dataField="1" dragToCol="0" dragToPage="0" dragToRow="0" compact="0" showAll="0"/>
    <pivotField dragToCol="0" dragToPage="0" dragToRow="0" compact="0" showAll="0"/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 v="12"/>
    </i>
    <i>
      <x/>
    </i>
    <i>
      <x v="17"/>
    </i>
    <i>
      <x v="2"/>
    </i>
    <i>
      <x v="7"/>
    </i>
  </rowItems>
  <colFields count="1">
    <field x="-2"/>
  </colFields>
  <colItems count="2">
    <i>
      <x/>
    </i>
    <i i="1">
      <x v="1"/>
    </i>
  </colItems>
  <dataFields count="2">
    <dataField name="Количество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4" cacheId="0" autoFormatId="1" applyNumberFormats="0" applyBorderFormats="0" applyFontFormats="0" applyPatternFormats="0" applyAlignmentFormats="0" applyWidthHeightFormats="1" dataCaption="Значения" updatedVersion="5" minRefreshableVersion="3" createdVersion="5" rowGrandTotals="0" colGrandTotals="0" compact="0" indent="0" outline="1" compactData="0" outlineData="1" showDrill="1" multipleFieldFilters="0">
  <location ref="A23:C43" firstHeaderRow="0" firstDataRow="1" firstDataCol="1"/>
  <pivotFields count="6">
    <pivotField axis="axisRow" dataField="1" compact="0" sortType="descending" showAll="0">
      <items count="21">
        <item x="10"/>
        <item x="16"/>
        <item x="11"/>
        <item x="0"/>
        <item x="18"/>
        <item x="1"/>
        <item x="2"/>
        <item x="13"/>
        <item x="14"/>
        <item x="3"/>
        <item x="8"/>
        <item x="4"/>
        <item x="15"/>
        <item x="9"/>
        <item x="17"/>
        <item x="12"/>
        <item x="5"/>
        <item x="19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38">
        <item x="0"/>
        <item x="128"/>
        <item x="221"/>
        <item x="7"/>
        <item x="194"/>
        <item x="159"/>
        <item x="142"/>
        <item x="193"/>
        <item x="236"/>
        <item x="19"/>
        <item x="58"/>
        <item x="63"/>
        <item x="223"/>
        <item x="59"/>
        <item x="8"/>
        <item x="45"/>
        <item x="4"/>
        <item x="33"/>
        <item x="15"/>
        <item x="201"/>
        <item x="197"/>
        <item x="169"/>
        <item x="204"/>
        <item x="102"/>
        <item x="40"/>
        <item x="99"/>
        <item x="188"/>
        <item x="153"/>
        <item x="150"/>
        <item x="107"/>
        <item x="160"/>
        <item x="154"/>
        <item x="232"/>
        <item x="192"/>
        <item x="97"/>
        <item x="53"/>
        <item x="222"/>
        <item x="41"/>
        <item x="52"/>
        <item x="17"/>
        <item x="212"/>
        <item x="113"/>
        <item x="210"/>
        <item x="230"/>
        <item x="79"/>
        <item x="103"/>
        <item x="133"/>
        <item x="51"/>
        <item x="131"/>
        <item x="29"/>
        <item x="100"/>
        <item x="14"/>
        <item x="89"/>
        <item x="65"/>
        <item x="85"/>
        <item x="202"/>
        <item x="235"/>
        <item x="27"/>
        <item x="185"/>
        <item x="225"/>
        <item x="55"/>
        <item x="26"/>
        <item x="42"/>
        <item x="68"/>
        <item x="143"/>
        <item x="9"/>
        <item x="196"/>
        <item x="101"/>
        <item x="32"/>
        <item x="129"/>
        <item x="172"/>
        <item x="90"/>
        <item x="158"/>
        <item x="213"/>
        <item x="156"/>
        <item x="12"/>
        <item x="46"/>
        <item x="195"/>
        <item x="20"/>
        <item x="37"/>
        <item x="208"/>
        <item x="47"/>
        <item x="95"/>
        <item x="141"/>
        <item x="30"/>
        <item x="186"/>
        <item x="86"/>
        <item x="111"/>
        <item x="165"/>
        <item x="162"/>
        <item x="164"/>
        <item x="48"/>
        <item x="64"/>
        <item x="130"/>
        <item x="124"/>
        <item x="56"/>
        <item x="227"/>
        <item x="49"/>
        <item x="180"/>
        <item x="21"/>
        <item x="5"/>
        <item x="28"/>
        <item x="1"/>
        <item x="34"/>
        <item x="120"/>
        <item x="179"/>
        <item x="147"/>
        <item x="209"/>
        <item x="38"/>
        <item x="139"/>
        <item x="145"/>
        <item x="70"/>
        <item x="105"/>
        <item x="187"/>
        <item x="140"/>
        <item x="106"/>
        <item x="220"/>
        <item x="121"/>
        <item x="205"/>
        <item x="13"/>
        <item x="170"/>
        <item x="22"/>
        <item x="134"/>
        <item x="16"/>
        <item x="127"/>
        <item x="146"/>
        <item x="18"/>
        <item x="122"/>
        <item x="166"/>
        <item x="203"/>
        <item x="23"/>
        <item x="176"/>
        <item x="110"/>
        <item x="115"/>
        <item x="43"/>
        <item x="199"/>
        <item x="87"/>
        <item x="93"/>
        <item x="2"/>
        <item x="151"/>
        <item x="182"/>
        <item x="123"/>
        <item x="104"/>
        <item x="98"/>
        <item x="108"/>
        <item x="135"/>
        <item x="229"/>
        <item x="206"/>
        <item x="181"/>
        <item x="119"/>
        <item x="163"/>
        <item x="10"/>
        <item x="11"/>
        <item x="155"/>
        <item x="66"/>
        <item x="125"/>
        <item x="214"/>
        <item x="136"/>
        <item x="92"/>
        <item x="138"/>
        <item x="207"/>
        <item x="88"/>
        <item x="171"/>
        <item x="114"/>
        <item x="78"/>
        <item x="190"/>
        <item x="62"/>
        <item x="6"/>
        <item x="83"/>
        <item x="228"/>
        <item x="226"/>
        <item x="191"/>
        <item x="94"/>
        <item x="116"/>
        <item x="117"/>
        <item x="74"/>
        <item x="173"/>
        <item x="175"/>
        <item x="54"/>
        <item x="231"/>
        <item x="71"/>
        <item x="161"/>
        <item x="137"/>
        <item x="149"/>
        <item x="211"/>
        <item x="215"/>
        <item x="77"/>
        <item x="80"/>
        <item x="216"/>
        <item x="157"/>
        <item x="183"/>
        <item x="178"/>
        <item x="198"/>
        <item x="82"/>
        <item x="69"/>
        <item x="219"/>
        <item x="126"/>
        <item x="84"/>
        <item x="31"/>
        <item x="67"/>
        <item x="72"/>
        <item x="200"/>
        <item x="174"/>
        <item x="112"/>
        <item x="57"/>
        <item x="217"/>
        <item x="75"/>
        <item x="144"/>
        <item x="24"/>
        <item x="167"/>
        <item x="184"/>
        <item x="39"/>
        <item x="3"/>
        <item x="81"/>
        <item x="73"/>
        <item x="233"/>
        <item x="177"/>
        <item x="25"/>
        <item x="152"/>
        <item x="76"/>
        <item x="132"/>
        <item x="60"/>
        <item x="148"/>
        <item x="224"/>
        <item x="168"/>
        <item x="118"/>
        <item x="35"/>
        <item x="36"/>
        <item x="96"/>
        <item x="91"/>
        <item x="50"/>
        <item x="218"/>
        <item x="61"/>
        <item x="109"/>
        <item x="189"/>
        <item x="234"/>
        <item x="44"/>
        <item t="default"/>
      </items>
    </pivotField>
    <pivotField compact="0" numFmtId="179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3" showAll="0">
      <items count="2809">
        <item x="170"/>
        <item x="2415"/>
        <item x="1839"/>
        <item x="2599"/>
        <item x="2048"/>
        <item x="2617"/>
        <item x="1339"/>
        <item x="2128"/>
        <item x="181"/>
        <item x="69"/>
        <item x="1525"/>
        <item x="5"/>
        <item x="2511"/>
        <item x="199"/>
        <item x="566"/>
        <item x="2525"/>
        <item x="2524"/>
        <item x="1974"/>
        <item x="2013"/>
        <item x="377"/>
        <item x="1759"/>
        <item x="1780"/>
        <item x="2009"/>
        <item x="296"/>
        <item x="2143"/>
        <item x="1891"/>
        <item x="1110"/>
        <item x="1185"/>
        <item x="269"/>
        <item x="14"/>
        <item x="1980"/>
        <item x="1304"/>
        <item x="1109"/>
        <item x="2173"/>
        <item x="374"/>
        <item x="1776"/>
        <item x="1177"/>
        <item x="725"/>
        <item x="854"/>
        <item x="1892"/>
        <item x="2379"/>
        <item x="2203"/>
        <item x="4"/>
        <item x="1014"/>
        <item x="595"/>
        <item x="2662"/>
        <item x="609"/>
        <item x="961"/>
        <item x="1550"/>
        <item x="1364"/>
        <item x="1028"/>
        <item x="1105"/>
        <item x="176"/>
        <item x="1960"/>
        <item x="414"/>
        <item x="1866"/>
        <item x="2335"/>
        <item x="2736"/>
        <item x="690"/>
        <item x="723"/>
        <item x="1054"/>
        <item x="2739"/>
        <item x="1327"/>
        <item x="68"/>
        <item x="1455"/>
        <item x="1758"/>
        <item x="1901"/>
        <item x="1156"/>
        <item x="2802"/>
        <item x="2209"/>
        <item x="1814"/>
        <item x="1407"/>
        <item x="2096"/>
        <item x="2000"/>
        <item x="1512"/>
        <item x="436"/>
        <item x="171"/>
        <item x="42"/>
        <item x="2745"/>
        <item x="1625"/>
        <item x="1121"/>
        <item x="2106"/>
        <item x="286"/>
        <item x="1055"/>
        <item x="2616"/>
        <item x="117"/>
        <item x="373"/>
        <item x="2510"/>
        <item x="360"/>
        <item x="2381"/>
        <item x="1234"/>
        <item x="1790"/>
        <item x="2781"/>
        <item x="2159"/>
        <item x="2623"/>
        <item x="2789"/>
        <item x="2204"/>
        <item x="924"/>
        <item x="1687"/>
        <item x="1726"/>
        <item x="2737"/>
        <item x="2671"/>
        <item x="2412"/>
        <item x="1836"/>
        <item x="1273"/>
        <item x="2334"/>
        <item x="706"/>
        <item x="1935"/>
        <item x="250"/>
        <item x="1985"/>
        <item x="890"/>
        <item x="131"/>
        <item x="906"/>
        <item x="843"/>
        <item x="2164"/>
        <item x="336"/>
        <item x="1036"/>
        <item x="2059"/>
        <item x="1585"/>
        <item x="1472"/>
        <item x="1724"/>
        <item x="812"/>
        <item x="141"/>
        <item x="956"/>
        <item x="2094"/>
        <item x="1755"/>
        <item x="1073"/>
        <item x="1802"/>
        <item x="328"/>
        <item x="1573"/>
        <item x="689"/>
        <item x="1528"/>
        <item x="116"/>
        <item x="920"/>
        <item x="788"/>
        <item x="484"/>
        <item x="991"/>
        <item x="810"/>
        <item x="389"/>
        <item x="264"/>
        <item x="435"/>
        <item x="2323"/>
        <item x="811"/>
        <item x="1752"/>
        <item x="1423"/>
        <item x="2482"/>
        <item x="722"/>
        <item x="1087"/>
        <item x="1900"/>
        <item x="1638"/>
        <item x="1085"/>
        <item x="1050"/>
        <item x="2610"/>
        <item x="169"/>
        <item x="586"/>
        <item x="1319"/>
        <item x="763"/>
        <item x="842"/>
        <item x="1944"/>
        <item x="2369"/>
        <item x="575"/>
        <item x="955"/>
        <item x="1133"/>
        <item x="724"/>
        <item x="1315"/>
        <item x="26"/>
        <item x="2448"/>
        <item x="2327"/>
        <item x="1368"/>
        <item x="2413"/>
        <item x="2753"/>
        <item x="2047"/>
        <item x="1883"/>
        <item x="2359"/>
        <item x="2462"/>
        <item x="449"/>
        <item x="1406"/>
        <item x="677"/>
        <item x="2626"/>
        <item x="1519"/>
        <item x="1488"/>
        <item x="2292"/>
        <item x="483"/>
        <item x="1086"/>
        <item x="2577"/>
        <item x="13"/>
        <item x="849"/>
        <item x="2218"/>
        <item x="2202"/>
        <item x="2148"/>
        <item x="1213"/>
        <item x="1195"/>
        <item x="1698"/>
        <item x="1159"/>
        <item x="833"/>
        <item x="119"/>
        <item x="1450"/>
        <item x="411"/>
        <item x="1722"/>
        <item x="864"/>
        <item x="2757"/>
        <item x="957"/>
        <item x="858"/>
        <item x="1688"/>
        <item x="83"/>
        <item x="1825"/>
        <item x="1123"/>
        <item x="802"/>
        <item x="728"/>
        <item x="2032"/>
        <item x="1524"/>
        <item x="108"/>
        <item x="994"/>
        <item x="1245"/>
        <item x="2763"/>
        <item x="2271"/>
        <item x="2118"/>
        <item x="984"/>
        <item x="765"/>
        <item x="133"/>
        <item x="2175"/>
        <item x="1477"/>
        <item x="285"/>
        <item x="656"/>
        <item x="1973"/>
        <item x="410"/>
        <item x="2629"/>
        <item x="1415"/>
        <item x="2758"/>
        <item x="84"/>
        <item x="2440"/>
        <item x="197"/>
        <item x="1690"/>
        <item x="2016"/>
        <item x="1259"/>
        <item x="2001"/>
        <item x="2801"/>
        <item x="1723"/>
        <item x="1063"/>
        <item x="574"/>
        <item x="2072"/>
        <item x="775"/>
        <item x="687"/>
        <item x="1004"/>
        <item x="1864"/>
        <item x="1376"/>
        <item x="200"/>
        <item x="1629"/>
        <item x="2261"/>
        <item x="2353"/>
        <item x="2449"/>
        <item x="1244"/>
        <item x="2088"/>
        <item x="2641"/>
        <item x="2252"/>
        <item x="1697"/>
        <item x="2609"/>
        <item x="2017"/>
        <item x="2194"/>
        <item x="1588"/>
        <item x="577"/>
        <item x="2628"/>
        <item x="2264"/>
        <item x="2552"/>
        <item x="2570"/>
        <item x="814"/>
        <item x="1456"/>
        <item x="2262"/>
        <item x="1680"/>
        <item x="1143"/>
        <item x="326"/>
        <item x="832"/>
        <item x="2360"/>
        <item x="1307"/>
        <item x="707"/>
        <item x="1796"/>
        <item x="1349"/>
        <item x="2288"/>
        <item x="1144"/>
        <item x="895"/>
        <item x="1489"/>
        <item x="804"/>
        <item x="1438"/>
        <item x="1574"/>
        <item x="134"/>
        <item x="2149"/>
        <item x="2163"/>
        <item x="2188"/>
        <item x="2368"/>
        <item x="830"/>
        <item x="865"/>
        <item x="1114"/>
        <item x="2087"/>
        <item x="645"/>
        <item x="2266"/>
        <item x="1653"/>
        <item x="2472"/>
        <item x="1681"/>
        <item x="1377"/>
        <item x="2174"/>
        <item x="611"/>
        <item x="2550"/>
        <item x="2104"/>
        <item x="2728"/>
        <item x="657"/>
        <item x="1424"/>
        <item x="829"/>
        <item x="1607"/>
        <item x="2"/>
        <item x="2172"/>
        <item x="1506"/>
        <item x="152"/>
        <item x="2329"/>
        <item x="2665"/>
        <item x="419"/>
        <item x="182"/>
        <item x="1071"/>
        <item x="2492"/>
        <item x="2060"/>
        <item x="1880"/>
        <item x="1617"/>
        <item x="401"/>
        <item x="309"/>
        <item x="538"/>
        <item x="368"/>
        <item x="1743"/>
        <item x="1583"/>
        <item x="298"/>
        <item x="243"/>
        <item x="1493"/>
        <item x="2664"/>
        <item x="1793"/>
        <item x="2581"/>
        <item x="624"/>
        <item x="641"/>
        <item x="2591"/>
        <item x="2186"/>
        <item x="2086"/>
        <item x="2011"/>
        <item x="416"/>
        <item x="2726"/>
        <item x="888"/>
        <item x="1878"/>
        <item x="688"/>
        <item x="1274"/>
        <item x="215"/>
        <item x="168"/>
        <item x="2192"/>
        <item x="1064"/>
        <item x="1890"/>
        <item x="1510"/>
        <item x="2091"/>
        <item x="1899"/>
        <item x="2759"/>
        <item x="1635"/>
        <item x="540"/>
        <item x="1760"/>
        <item x="106"/>
        <item x="2084"/>
        <item x="1255"/>
        <item x="2544"/>
        <item x="1132"/>
        <item x="936"/>
        <item x="803"/>
        <item x="2349"/>
        <item x="1029"/>
        <item x="2274"/>
        <item x="1425"/>
        <item x="1474"/>
        <item x="375"/>
        <item x="172"/>
        <item x="539"/>
        <item x="55"/>
        <item x="1794"/>
        <item x="2010"/>
        <item x="960"/>
        <item x="310"/>
        <item x="2777"/>
        <item x="983"/>
        <item x="32"/>
        <item x="2229"/>
        <item x="1016"/>
        <item x="2619"/>
        <item x="1882"/>
        <item x="1959"/>
        <item x="2725"/>
        <item x="2273"/>
        <item x="1378"/>
        <item x="692"/>
        <item x="1576"/>
        <item x="2231"/>
        <item x="2325"/>
        <item x="2441"/>
        <item x="1408"/>
        <item x="275"/>
        <item x="2232"/>
        <item x="1770"/>
        <item x="1232"/>
        <item x="198"/>
        <item x="121"/>
        <item x="392"/>
        <item x="726"/>
        <item x="1593"/>
        <item x="1310"/>
        <item x="82"/>
        <item x="2681"/>
        <item x="288"/>
        <item x="1098"/>
        <item x="1060"/>
        <item x="856"/>
        <item x="2107"/>
        <item x="1457"/>
        <item x="1006"/>
        <item x="245"/>
        <item x="1778"/>
        <item x="2740"/>
        <item x="2788"/>
        <item x="1549"/>
        <item x="399"/>
        <item x="1002"/>
        <item x="1679"/>
        <item x="2061"/>
        <item x="1919"/>
        <item x="1142"/>
        <item x="2404"/>
        <item x="2624"/>
        <item x="1559"/>
        <item x="1405"/>
        <item x="1505"/>
        <item x="894"/>
        <item x="234"/>
        <item x="1317"/>
        <item x="1039"/>
        <item x="322"/>
        <item x="132"/>
        <item x="2400"/>
        <item x="390"/>
        <item x="1902"/>
        <item x="248"/>
        <item x="565"/>
        <item x="1473"/>
        <item x="1586"/>
        <item x="889"/>
        <item x="508"/>
        <item x="1636"/>
        <item x="244"/>
        <item x="893"/>
        <item x="383"/>
        <item x="2602"/>
        <item x="2537"/>
        <item x="123"/>
        <item x="1397"/>
        <item x="2590"/>
        <item x="510"/>
        <item x="1999"/>
        <item x="1176"/>
        <item x="393"/>
        <item x="1013"/>
        <item x="1958"/>
        <item x="2779"/>
        <item x="2535"/>
        <item x="875"/>
        <item x="1088"/>
        <item x="846"/>
        <item x="218"/>
        <item x="1756"/>
        <item x="2338"/>
        <item x="2388"/>
        <item x="1275"/>
        <item x="2596"/>
        <item x="2567"/>
        <item x="576"/>
        <item x="122"/>
        <item x="1276"/>
        <item x="1709"/>
        <item x="2378"/>
        <item x="2727"/>
        <item x="1768"/>
        <item x="2464"/>
        <item x="2423"/>
        <item x="2070"/>
        <item x="1837"/>
        <item x="1186"/>
        <item x="289"/>
        <item x="65"/>
        <item x="721"/>
        <item x="495"/>
        <item x="2421"/>
        <item x="2117"/>
        <item x="2447"/>
        <item x="602"/>
        <item x="2729"/>
        <item x="599"/>
        <item x="2565"/>
        <item x="1287"/>
        <item x="1789"/>
        <item x="1544"/>
        <item x="391"/>
        <item x="1881"/>
        <item x="1721"/>
        <item x="2110"/>
        <item x="1210"/>
        <item x="2521"/>
        <item x="2119"/>
        <item x="1871"/>
        <item x="1389"/>
        <item x="1874"/>
        <item x="1603"/>
        <item x="2682"/>
        <item x="1257"/>
        <item x="2437"/>
        <item x="1174"/>
        <item x="261"/>
        <item x="2220"/>
        <item x="2721"/>
        <item x="482"/>
        <item x="918"/>
        <item x="384"/>
        <item x="2803"/>
        <item x="233"/>
        <item x="1211"/>
        <item x="2230"/>
        <item x="587"/>
        <item x="1459"/>
        <item x="2030"/>
        <item x="1822"/>
        <item x="530"/>
        <item x="2655"/>
        <item x="528"/>
        <item x="1946"/>
        <item x="748"/>
        <item x="2402"/>
        <item x="1514"/>
        <item x="1998"/>
        <item x="418"/>
        <item x="2744"/>
        <item x="70"/>
        <item x="2085"/>
        <item x="847"/>
        <item x="81"/>
        <item x="1606"/>
        <item x="993"/>
        <item x="2792"/>
        <item x="1277"/>
        <item x="2337"/>
        <item x="1272"/>
        <item x="2071"/>
        <item x="1947"/>
        <item x="2120"/>
        <item x="1742"/>
        <item x="1779"/>
        <item x="749"/>
        <item x="907"/>
        <item x="347"/>
        <item x="1652"/>
        <item x="809"/>
        <item x="1731"/>
        <item x="1572"/>
        <item x="2446"/>
        <item x="1873"/>
        <item x="174"/>
        <item x="249"/>
        <item x="2339"/>
        <item x="1258"/>
        <item x="1226"/>
        <item x="1826"/>
        <item x="364"/>
        <item x="1291"/>
        <item x="2389"/>
        <item x="773"/>
        <item x="459"/>
        <item x="1136"/>
        <item x="1865"/>
        <item x="1005"/>
        <item x="1476"/>
        <item x="2536"/>
        <item x="1391"/>
        <item x="1399"/>
        <item x="541"/>
        <item x="2176"/>
        <item x="28"/>
        <item x="497"/>
        <item x="516"/>
        <item x="857"/>
        <item x="2031"/>
        <item x="1292"/>
        <item x="2155"/>
        <item x="1655"/>
        <item x="2708"/>
        <item x="2350"/>
        <item x="71"/>
        <item x="143"/>
        <item x="1290"/>
        <item x="678"/>
        <item x="2370"/>
        <item x="2670"/>
        <item x="1331"/>
        <item x="2761"/>
        <item x="434"/>
        <item x="1038"/>
        <item x="1390"/>
        <item x="762"/>
        <item x="2532"/>
        <item x="2652"/>
        <item x="1792"/>
        <item x="107"/>
        <item x="2445"/>
        <item x="1614"/>
        <item x="2790"/>
        <item x="2122"/>
        <item x="2352"/>
        <item x="667"/>
        <item x="2272"/>
        <item x="1579"/>
        <item x="487"/>
        <item x="1233"/>
        <item x="2372"/>
        <item x="1931"/>
        <item x="2569"/>
        <item x="750"/>
        <item x="2223"/>
        <item x="2105"/>
        <item x="1696"/>
        <item x="1229"/>
        <item x="1847"/>
        <item x="612"/>
        <item x="1306"/>
        <item x="1918"/>
        <item x="2208"/>
        <item x="625"/>
        <item x="1"/>
        <item x="265"/>
        <item x="2495"/>
        <item x="95"/>
        <item x="72"/>
        <item x="1478"/>
        <item x="1932"/>
        <item x="2791"/>
        <item x="2793"/>
        <item x="44"/>
        <item x="764"/>
        <item x="1767"/>
        <item x="1745"/>
        <item x="1838"/>
        <item x="2735"/>
        <item x="1058"/>
        <item x="1308"/>
        <item x="2219"/>
        <item x="1913"/>
        <item x="2361"/>
        <item x="1989"/>
        <item x="349"/>
        <item x="1309"/>
        <item x="2547"/>
        <item x="1347"/>
        <item x="1256"/>
        <item x="394"/>
        <item x="1507"/>
        <item x="1030"/>
        <item x="1769"/>
        <item x="552"/>
        <item x="388"/>
        <item x="1235"/>
        <item x="2187"/>
        <item x="365"/>
        <item x="2549"/>
        <item x="2620"/>
        <item x="1592"/>
        <item x="610"/>
        <item x="919"/>
        <item x="1099"/>
        <item x="2302"/>
        <item x="1816"/>
        <item x="2351"/>
        <item x="1108"/>
        <item x="183"/>
        <item x="1949"/>
        <item x="30"/>
        <item x="1637"/>
        <item x="2026"/>
        <item x="2595"/>
        <item x="2548"/>
        <item x="2653"/>
        <item x="2504"/>
        <item x="937"/>
        <item x="1664"/>
        <item x="2139"/>
        <item x="1107"/>
        <item x="2211"/>
        <item x="2473"/>
        <item x="1414"/>
        <item x="1926"/>
        <item x="402"/>
        <item x="626"/>
        <item x="1400"/>
        <item x="553"/>
        <item x="972"/>
        <item x="644"/>
        <item x="1615"/>
        <item x="2522"/>
        <item x="1243"/>
        <item x="1427"/>
        <item x="2534"/>
        <item x="1555"/>
        <item x="1475"/>
        <item x="57"/>
        <item x="909"/>
        <item x="15"/>
        <item x="2391"/>
        <item x="818"/>
        <item x="1744"/>
        <item x="1303"/>
        <item x="1987"/>
        <item x="1682"/>
        <item x="1164"/>
        <item x="1903"/>
        <item x="376"/>
        <item x="251"/>
        <item x="2390"/>
        <item x="321"/>
        <item x="751"/>
        <item x="554"/>
        <item x="1921"/>
        <item x="2625"/>
        <item x="1426"/>
        <item x="1803"/>
        <item x="2313"/>
        <item x="27"/>
        <item x="29"/>
        <item x="486"/>
        <item x="1113"/>
        <item x="789"/>
        <item x="1263"/>
        <item x="719"/>
        <item x="2095"/>
        <item x="1049"/>
        <item x="327"/>
        <item x="2144"/>
        <item x="2050"/>
        <item x="1872"/>
        <item x="1988"/>
        <item x="1575"/>
        <item x="2508"/>
        <item x="16"/>
        <item x="2303"/>
        <item x="896"/>
        <item x="386"/>
        <item x="1904"/>
        <item x="938"/>
        <item x="542"/>
        <item x="1527"/>
        <item x="813"/>
        <item x="1772"/>
        <item x="2403"/>
        <item x="2108"/>
        <item x="1465"/>
        <item x="1062"/>
        <item x="2695"/>
        <item x="2463"/>
        <item x="2293"/>
        <item x="270"/>
        <item x="398"/>
        <item x="1022"/>
        <item x="653"/>
        <item x="1732"/>
        <item x="1059"/>
        <item x="2014"/>
        <item x="1887"/>
        <item x="2305"/>
        <item x="1893"/>
        <item x="500"/>
        <item x="693"/>
        <item x="2568"/>
        <item x="571"/>
        <item x="2703"/>
        <item x="1437"/>
        <item x="1197"/>
        <item x="705"/>
        <item x="2207"/>
        <item x="959"/>
        <item x="668"/>
        <item x="1227"/>
        <item x="2147"/>
        <item x="481"/>
        <item x="563"/>
        <item x="1325"/>
        <item x="2618"/>
        <item x="2414"/>
        <item x="485"/>
        <item x="1015"/>
        <item x="2706"/>
        <item x="2408"/>
        <item x="1479"/>
        <item x="2354"/>
        <item x="2065"/>
        <item x="2505"/>
        <item x="287"/>
        <item x="300"/>
        <item x="1515"/>
        <item x="1172"/>
        <item x="992"/>
        <item x="588"/>
        <item x="422"/>
        <item x="282"/>
        <item x="2442"/>
        <item x="1580"/>
        <item x="2123"/>
        <item x="316"/>
        <item x="1318"/>
        <item x="312"/>
        <item x="1701"/>
        <item x="1922"/>
        <item x="1855"/>
        <item x="472"/>
        <item x="911"/>
        <item x="703"/>
        <item x="2760"/>
        <item x="786"/>
        <item x="339"/>
        <item x="1242"/>
        <item x="367"/>
        <item x="1710"/>
        <item x="2807"/>
        <item x="1782"/>
        <item x="1396"/>
        <item x="1494"/>
        <item x="787"/>
        <item x="958"/>
        <item x="1699"/>
        <item x="1212"/>
        <item x="2294"/>
        <item x="153"/>
        <item x="759"/>
        <item x="658"/>
        <item x="589"/>
        <item x="175"/>
        <item x="85"/>
        <item x="1560"/>
        <item x="268"/>
        <item x="995"/>
        <item x="1529"/>
        <item x="1630"/>
        <item x="1454"/>
        <item x="1824"/>
        <item x="1806"/>
        <item x="1686"/>
        <item x="2513"/>
        <item x="97"/>
        <item x="1711"/>
        <item x="2387"/>
        <item x="737"/>
        <item x="2593"/>
        <item x="1402"/>
        <item x="1330"/>
        <item x="2083"/>
        <item x="1587"/>
        <item x="19"/>
        <item x="2109"/>
        <item x="2499"/>
        <item x="2251"/>
        <item x="2189"/>
        <item x="880"/>
        <item x="2484"/>
        <item x="87"/>
        <item x="2304"/>
        <item x="471"/>
        <item x="2131"/>
        <item x="1666"/>
        <item x="679"/>
        <item x="501"/>
        <item x="987"/>
        <item x="1552"/>
        <item x="785"/>
        <item x="301"/>
        <item x="1795"/>
        <item x="922"/>
        <item x="1161"/>
        <item x="450"/>
        <item x="511"/>
        <item x="2780"/>
        <item x="2723"/>
        <item x="1401"/>
        <item x="299"/>
        <item x="986"/>
        <item x="1280"/>
        <item x="2485"/>
        <item x="985"/>
        <item x="1124"/>
        <item x="868"/>
        <item x="844"/>
        <item x="1640"/>
        <item x="1418"/>
        <item x="2496"/>
        <item x="1100"/>
        <item x="1305"/>
        <item x="1348"/>
        <item x="2794"/>
        <item x="1757"/>
        <item x="562"/>
        <item x="2185"/>
        <item x="1823"/>
        <item x="2663"/>
        <item x="1346"/>
        <item x="2494"/>
        <item x="732"/>
        <item x="1983"/>
        <item x="2161"/>
        <item x="2715"/>
        <item x="976"/>
        <item x="2795"/>
        <item x="1561"/>
        <item x="790"/>
        <item x="1862"/>
        <item x="970"/>
        <item x="1200"/>
        <item x="1374"/>
        <item x="238"/>
        <item x="746"/>
        <item x="1642"/>
        <item x="2654"/>
        <item x="217"/>
        <item x="614"/>
        <item x="129"/>
        <item x="350"/>
        <item x="1936"/>
        <item x="1678"/>
        <item x="2454"/>
        <item x="2226"/>
        <item x="370"/>
        <item x="836"/>
        <item x="671"/>
        <item x="1260"/>
        <item x="2052"/>
        <item x="1294"/>
        <item x="33"/>
        <item x="1943"/>
        <item x="2630"/>
        <item x="2291"/>
        <item x="2804"/>
        <item x="429"/>
        <item x="2483"/>
        <item x="2018"/>
        <item x="2312"/>
        <item x="876"/>
        <item x="1293"/>
        <item x="432"/>
        <item x="1116"/>
        <item x="627"/>
        <item x="1957"/>
        <item x="2015"/>
        <item x="1627"/>
        <item x="502"/>
        <item x="2724"/>
        <item x="2165"/>
        <item x="1639"/>
        <item x="1316"/>
        <item x="1556"/>
        <item x="252"/>
        <item x="186"/>
        <item x="1261"/>
        <item x="1246"/>
        <item x="669"/>
        <item x="1616"/>
        <item x="1920"/>
        <item x="601"/>
        <item x="1157"/>
        <item x="1811"/>
        <item x="1413"/>
        <item x="1997"/>
        <item x="2598"/>
        <item x="647"/>
        <item x="221"/>
        <item x="2734"/>
        <item x="2265"/>
        <item x="2138"/>
        <item x="2627"/>
        <item x="2380"/>
        <item x="561"/>
        <item x="2497"/>
        <item x="529"/>
        <item x="1264"/>
        <item x="2227"/>
        <item x="1545"/>
        <item x="2043"/>
        <item x="1111"/>
        <item x="596"/>
        <item x="1311"/>
        <item x="1247"/>
        <item x="1875"/>
        <item x="2582"/>
        <item x="2077"/>
        <item x="729"/>
        <item x="941"/>
        <item x="2205"/>
        <item x="930"/>
        <item x="1160"/>
        <item x="428"/>
        <item x="1889"/>
        <item x="460"/>
        <item x="1908"/>
        <item x="1827"/>
        <item x="1531"/>
        <item x="628"/>
        <item x="2688"/>
        <item x="1747"/>
        <item x="2253"/>
        <item x="323"/>
        <item x="2228"/>
        <item x="1075"/>
        <item x="2767"/>
        <item x="1320"/>
        <item x="1977"/>
        <item x="622"/>
        <item x="220"/>
        <item x="1138"/>
        <item x="1112"/>
        <item x="96"/>
        <item x="313"/>
        <item x="2636"/>
        <item x="978"/>
        <item x="694"/>
        <item x="1162"/>
        <item x="1090"/>
        <item x="649"/>
        <item x="1072"/>
        <item x="2254"/>
        <item x="1520"/>
        <item x="845"/>
        <item x="103"/>
        <item x="1353"/>
        <item x="2195"/>
        <item x="2685"/>
        <item x="2748"/>
        <item x="2235"/>
        <item x="2539"/>
        <item x="774"/>
        <item x="1484"/>
        <item x="1818"/>
        <item x="2355"/>
        <item x="1278"/>
        <item x="2451"/>
        <item x="2778"/>
        <item x="2371"/>
        <item x="1950"/>
        <item x="2267"/>
        <item x="928"/>
        <item x="2787"/>
        <item x="2747"/>
        <item x="929"/>
        <item x="1033"/>
        <item x="531"/>
        <item x="631"/>
        <item x="362"/>
        <item x="2558"/>
        <item x="1045"/>
        <item x="1961"/>
        <item x="2428"/>
        <item x="1730"/>
        <item x="1691"/>
        <item x="337"/>
        <item x="648"/>
        <item x="1984"/>
        <item x="1923"/>
        <item x="1380"/>
        <item x="1184"/>
        <item x="2177"/>
        <item x="1551"/>
        <item x="2775"/>
        <item x="1345"/>
        <item x="2397"/>
        <item x="800"/>
        <item x="453"/>
        <item x="2453"/>
        <item x="2008"/>
        <item x="2491"/>
        <item x="766"/>
        <item x="848"/>
        <item x="869"/>
        <item x="646"/>
        <item x="709"/>
        <item x="971"/>
        <item x="758"/>
        <item x="363"/>
        <item x="908"/>
        <item x="1708"/>
        <item x="2573"/>
        <item x="1599"/>
        <item x="2592"/>
        <item x="2638"/>
        <item x="1497"/>
        <item x="2121"/>
        <item x="2564"/>
        <item x="239"/>
        <item x="883"/>
        <item x="1199"/>
        <item x="2270"/>
        <item x="1337"/>
        <item x="1492"/>
        <item x="1741"/>
        <item x="527"/>
        <item x="1933"/>
        <item x="56"/>
        <item x="1915"/>
        <item x="2429"/>
        <item x="2656"/>
        <item x="1007"/>
        <item x="314"/>
        <item x="736"/>
        <item x="2608"/>
        <item x="1206"/>
        <item x="2461"/>
        <item x="2651"/>
        <item x="2034"/>
        <item x="2575"/>
        <item x="2693"/>
        <item x="421"/>
        <item x="400"/>
        <item x="831"/>
        <item x="185"/>
        <item x="2158"/>
        <item x="283"/>
        <item x="1879"/>
        <item x="266"/>
        <item x="1600"/>
        <item x="585"/>
        <item x="544"/>
        <item x="177"/>
        <item x="2201"/>
        <item x="2206"/>
        <item x="2318"/>
        <item x="100"/>
        <item x="2554"/>
        <item x="2583"/>
        <item x="2557"/>
        <item x="866"/>
        <item x="366"/>
        <item x="616"/>
        <item x="1667"/>
        <item x="396"/>
        <item x="840"/>
        <item x="1214"/>
        <item x="1023"/>
        <item x="2019"/>
        <item x="1017"/>
        <item x="2210"/>
        <item x="178"/>
        <item x="2520"/>
        <item x="1134"/>
        <item x="2642"/>
        <item x="1785"/>
        <item x="1906"/>
        <item x="555"/>
        <item x="1565"/>
        <item x="2512"/>
        <item x="2674"/>
        <item x="686"/>
        <item x="1224"/>
        <item x="54"/>
        <item x="1395"/>
        <item x="792"/>
        <item x="1805"/>
        <item x="1360"/>
        <item x="246"/>
        <item x="1094"/>
        <item x="564"/>
        <item x="913"/>
        <item x="935"/>
        <item x="2153"/>
        <item x="1496"/>
        <item x="760"/>
        <item x="1990"/>
        <item x="1702"/>
        <item x="6"/>
        <item x="2012"/>
        <item x="1329"/>
        <item x="2255"/>
        <item x="2382"/>
        <item x="1833"/>
        <item x="783"/>
        <item x="1231"/>
        <item x="825"/>
        <item x="1540"/>
        <item x="1057"/>
        <item x="1453"/>
        <item x="2782"/>
        <item x="2601"/>
        <item x="2443"/>
        <item x="567"/>
        <item x="1125"/>
        <item x="1783"/>
        <item x="2197"/>
        <item x="109"/>
        <item x="1205"/>
        <item x="1632"/>
        <item x="2051"/>
        <item x="509"/>
        <item x="643"/>
        <item x="2649"/>
        <item x="1801"/>
        <item x="1175"/>
        <item x="547"/>
        <item x="224"/>
        <item x="130"/>
        <item x="629"/>
        <item x="2507"/>
        <item x="2450"/>
        <item x="2056"/>
        <item x="1145"/>
        <item x="41"/>
        <item x="140"/>
        <item x="2632"/>
        <item x="2268"/>
        <item x="619"/>
        <item x="632"/>
        <item x="822"/>
        <item x="1910"/>
        <item x="879"/>
        <item x="680"/>
        <item x="910"/>
        <item x="166"/>
        <item x="1404"/>
        <item x="947"/>
        <item x="954"/>
        <item x="311"/>
        <item x="2556"/>
        <item x="1501"/>
        <item x="1791"/>
        <item x="236"/>
        <item x="1461"/>
        <item x="1216"/>
        <item x="2741"/>
        <item x="1168"/>
        <item x="1749"/>
        <item x="603"/>
        <item x="2712"/>
        <item x="1051"/>
        <item x="1945"/>
        <item x="489"/>
        <item x="2240"/>
        <item x="1302"/>
        <item x="111"/>
        <item x="1854"/>
        <item x="2233"/>
        <item x="1468"/>
        <item x="2531"/>
        <item x="1591"/>
        <item x="1654"/>
        <item x="2243"/>
        <item x="67"/>
        <item x="1191"/>
        <item x="2347"/>
        <item x="1799"/>
        <item x="861"/>
        <item x="776"/>
        <item x="2493"/>
        <item x="1885"/>
        <item x="720"/>
        <item x="165"/>
        <item x="1009"/>
        <item x="1321"/>
        <item x="2612"/>
        <item x="158"/>
        <item x="2039"/>
        <item x="2319"/>
        <item x="184"/>
        <item x="2705"/>
        <item x="835"/>
        <item x="1948"/>
        <item x="229"/>
        <item x="2075"/>
        <item x="203"/>
        <item x="969"/>
        <item x="2092"/>
        <item x="782"/>
        <item x="1037"/>
        <item x="272"/>
        <item x="2289"/>
        <item x="1804"/>
        <item x="881"/>
        <item x="2102"/>
        <item x="1044"/>
        <item x="420"/>
        <item x="2133"/>
        <item x="2673"/>
        <item x="1230"/>
        <item x="1598"/>
        <item x="2738"/>
        <item x="2439"/>
        <item x="815"/>
        <item x="1942"/>
        <item x="1620"/>
        <item x="40"/>
        <item x="1773"/>
        <item x="2424"/>
        <item x="412"/>
        <item x="1382"/>
        <item x="247"/>
        <item x="2393"/>
        <item x="700"/>
        <item x="1628"/>
        <item x="1285"/>
        <item x="1228"/>
        <item x="2384"/>
        <item x="1298"/>
        <item x="451"/>
        <item x="385"/>
        <item x="2307"/>
        <item x="324"/>
        <item x="2125"/>
        <item x="1403"/>
        <item x="1571"/>
        <item x="584"/>
        <item x="2362"/>
        <item x="348"/>
        <item x="2475"/>
        <item x="1182"/>
        <item x="474"/>
        <item x="66"/>
        <item x="2768"/>
        <item x="148"/>
        <item x="1127"/>
        <item x="1416"/>
        <item x="207"/>
        <item x="1852"/>
        <item x="155"/>
        <item x="2704"/>
        <item x="1065"/>
        <item x="651"/>
        <item x="157"/>
        <item x="550"/>
        <item x="1237"/>
        <item x="2502"/>
        <item x="583"/>
        <item x="2438"/>
        <item x="1429"/>
        <item x="2613"/>
        <item x="532"/>
        <item x="2621"/>
        <item x="216"/>
        <item x="1677"/>
        <item x="338"/>
        <item x="1335"/>
        <item x="1517"/>
        <item x="756"/>
        <item x="2295"/>
        <item x="1846"/>
        <item x="473"/>
        <item x="2754"/>
        <item x="369"/>
        <item x="1053"/>
        <item x="1367"/>
        <item x="2433"/>
        <item x="2545"/>
        <item x="655"/>
        <item x="1912"/>
        <item x="1526"/>
        <item x="1845"/>
        <item x="1070"/>
        <item x="351"/>
        <item x="1774"/>
        <item x="1379"/>
        <item x="698"/>
        <item x="3"/>
        <item x="949"/>
        <item x="1043"/>
        <item x="2101"/>
        <item x="2770"/>
        <item x="45"/>
        <item x="1460"/>
        <item x="1340"/>
        <item x="1656"/>
        <item x="1458"/>
        <item x="2081"/>
        <item x="307"/>
        <item x="110"/>
        <item x="837"/>
        <item x="1810"/>
        <item x="2746"/>
        <item x="452"/>
        <item x="727"/>
        <item x="1975"/>
        <item x="600"/>
        <item x="623"/>
        <item x="2533"/>
        <item x="806"/>
        <item x="1137"/>
        <item x="752"/>
        <item x="1046"/>
        <item x="546"/>
        <item x="1786"/>
        <item x="2348"/>
        <item x="1704"/>
        <item x="378"/>
        <item x="594"/>
        <item x="1976"/>
        <item x="1853"/>
        <item x="1451"/>
        <item x="271"/>
        <item x="2002"/>
        <item x="744"/>
        <item x="1381"/>
        <item x="334"/>
        <item x="1010"/>
        <item x="439"/>
        <item x="137"/>
        <item x="1485"/>
        <item x="50"/>
        <item x="2466"/>
        <item x="147"/>
        <item x="860"/>
        <item x="226"/>
        <item x="1366"/>
        <item x="731"/>
        <item x="2063"/>
        <item x="1967"/>
        <item x="2587"/>
        <item x="1131"/>
        <item x="415"/>
        <item x="755"/>
        <item x="778"/>
        <item x="2331"/>
        <item x="1911"/>
        <item x="1074"/>
        <item x="2263"/>
        <item x="2275"/>
        <item x="2694"/>
        <item x="1332"/>
        <item x="816"/>
        <item x="2021"/>
        <item x="2405"/>
        <item x="2137"/>
        <item x="2588"/>
        <item x="2132"/>
        <item x="2222"/>
        <item x="114"/>
        <item x="1219"/>
        <item x="480"/>
        <item x="1434"/>
        <item x="2033"/>
        <item x="64"/>
        <item x="605"/>
        <item x="2003"/>
        <item x="2796"/>
        <item x="465"/>
        <item x="76"/>
        <item x="2696"/>
        <item x="2346"/>
        <item x="1480"/>
        <item x="1714"/>
        <item x="1964"/>
        <item x="867"/>
        <item x="235"/>
        <item x="1857"/>
        <item x="2551"/>
        <item x="499"/>
        <item x="1341"/>
        <item x="438"/>
        <item x="2509"/>
        <item x="2298"/>
        <item x="1553"/>
        <item x="1971"/>
        <item x="1608"/>
        <item x="381"/>
        <item x="1163"/>
        <item x="980"/>
        <item x="897"/>
        <item x="190"/>
        <item x="948"/>
        <item x="2191"/>
        <item x="232"/>
        <item x="708"/>
        <item x="545"/>
        <item x="695"/>
        <item x="2239"/>
        <item x="1201"/>
        <item x="921"/>
        <item x="2064"/>
        <item x="2373"/>
        <item x="2196"/>
        <item x="1546"/>
        <item x="408"/>
        <item x="1662"/>
        <item x="514"/>
        <item x="734"/>
        <item x="2460"/>
        <item x="1342"/>
        <item x="1068"/>
        <item x="2783"/>
        <item x="592"/>
        <item x="2259"/>
        <item x="2112"/>
        <item x="2750"/>
        <item x="981"/>
        <item x="1236"/>
        <item x="1619"/>
        <item x="1611"/>
        <item x="1897"/>
        <item x="2527"/>
        <item x="2661"/>
        <item x="1788"/>
        <item x="1223"/>
        <item x="666"/>
        <item x="2127"/>
        <item x="780"/>
        <item x="358"/>
        <item x="478"/>
        <item x="1672"/>
        <item x="2224"/>
        <item x="413"/>
        <item x="1464"/>
        <item x="1196"/>
        <item x="1040"/>
        <item x="1953"/>
        <item x="1644"/>
        <item x="1193"/>
        <item x="163"/>
        <item x="409"/>
        <item x="263"/>
        <item x="1490"/>
        <item x="253"/>
        <item x="604"/>
        <item x="2076"/>
        <item x="1155"/>
        <item x="850"/>
        <item x="1700"/>
        <item x="1147"/>
        <item x="1440"/>
        <item x="2193"/>
        <item x="120"/>
        <item x="2326"/>
        <item x="1972"/>
        <item x="1536"/>
        <item x="1895"/>
        <item x="1394"/>
        <item x="573"/>
        <item x="793"/>
        <item x="371"/>
        <item x="1869"/>
        <item x="1798"/>
        <item x="2152"/>
        <item x="10"/>
        <item x="2321"/>
        <item x="1439"/>
        <item x="2049"/>
        <item x="2452"/>
        <item x="805"/>
        <item x="2762"/>
        <item x="1122"/>
        <item x="1067"/>
        <item x="294"/>
        <item x="798"/>
        <item x="2310"/>
        <item x="1388"/>
        <item x="1543"/>
        <item x="2364"/>
        <item x="36"/>
        <item x="2766"/>
        <item x="2498"/>
        <item x="2644"/>
        <item x="446"/>
        <item x="1924"/>
        <item x="440"/>
        <item x="2488"/>
        <item x="22"/>
        <item x="1562"/>
        <item x="2029"/>
        <item x="2422"/>
        <item x="882"/>
        <item x="964"/>
        <item x="2142"/>
        <item x="998"/>
        <item x="1334"/>
        <item x="1288"/>
        <item x="887"/>
        <item x="2124"/>
        <item x="1813"/>
        <item x="2465"/>
        <item x="2419"/>
        <item x="963"/>
        <item x="932"/>
        <item x="1938"/>
        <item x="2181"/>
        <item x="1433"/>
        <item x="241"/>
        <item x="1217"/>
        <item x="1955"/>
        <item x="1850"/>
        <item x="2129"/>
        <item x="2190"/>
        <item x="2367"/>
        <item x="2308"/>
        <item x="2168"/>
        <item x="346"/>
        <item x="1982"/>
        <item x="2687"/>
        <item x="2672"/>
        <item x="2742"/>
        <item x="427"/>
        <item x="1178"/>
        <item x="498"/>
        <item x="1183"/>
        <item x="2719"/>
        <item x="424"/>
        <item x="2040"/>
        <item x="581"/>
        <item x="188"/>
        <item x="2080"/>
        <item x="2701"/>
        <item x="2559"/>
        <item x="1876"/>
        <item x="1410"/>
        <item x="710"/>
        <item x="1618"/>
        <item x="395"/>
        <item x="839"/>
        <item x="1295"/>
        <item x="105"/>
        <item x="1589"/>
        <item x="761"/>
        <item x="1431"/>
        <item x="973"/>
        <item x="2784"/>
        <item x="2103"/>
        <item x="2553"/>
        <item x="556"/>
        <item x="1668"/>
        <item x="2542"/>
        <item x="923"/>
        <item x="2699"/>
        <item x="1297"/>
        <item x="255"/>
        <item x="533"/>
        <item x="654"/>
        <item x="2578"/>
        <item x="777"/>
        <item x="99"/>
        <item x="735"/>
        <item x="1417"/>
        <item x="1951"/>
        <item x="873"/>
        <item x="448"/>
        <item x="791"/>
        <item x="2022"/>
        <item x="34"/>
        <item x="1631"/>
        <item x="2183"/>
        <item x="662"/>
        <item x="1271"/>
        <item x="2245"/>
        <item x="43"/>
        <item x="74"/>
        <item x="914"/>
        <item x="2314"/>
        <item x="1851"/>
        <item x="93"/>
        <item x="2474"/>
        <item x="2469"/>
        <item x="58"/>
        <item x="912"/>
        <item x="2677"/>
        <item x="946"/>
        <item x="1251"/>
        <item x="989"/>
        <item x="463"/>
        <item x="1840"/>
        <item x="578"/>
        <item x="1279"/>
        <item x="319"/>
        <item x="904"/>
        <item x="2162"/>
        <item x="2315"/>
        <item x="1894"/>
        <item x="1284"/>
        <item x="2732"/>
        <item x="931"/>
        <item x="2332"/>
        <item x="1986"/>
        <item x="1817"/>
        <item x="821"/>
        <item x="1018"/>
        <item x="1563"/>
        <item x="1286"/>
        <item x="745"/>
        <item x="2720"/>
        <item x="1369"/>
        <item x="2055"/>
        <item x="1820"/>
        <item x="35"/>
        <item x="1995"/>
        <item x="523"/>
        <item x="1194"/>
        <item x="2042"/>
        <item x="2755"/>
        <item x="423"/>
        <item x="2776"/>
        <item x="2398"/>
        <item x="212"/>
        <item x="2714"/>
        <item x="146"/>
        <item x="2316"/>
        <item x="1703"/>
        <item x="2057"/>
        <item x="308"/>
        <item x="403"/>
        <item x="1641"/>
        <item x="1188"/>
        <item x="80"/>
        <item x="2246"/>
        <item x="2234"/>
        <item x="1249"/>
        <item x="2082"/>
        <item x="2506"/>
        <item x="431"/>
        <item x="1753"/>
        <item x="1647"/>
        <item x="713"/>
        <item x="59"/>
        <item x="2053"/>
        <item x="86"/>
        <item x="231"/>
        <item x="1888"/>
        <item x="1052"/>
        <item x="1383"/>
        <item x="898"/>
        <item x="2707"/>
        <item x="817"/>
        <item x="1645"/>
        <item x="335"/>
        <item x="1843"/>
        <item x="2600"/>
        <item x="2503"/>
        <item x="387"/>
        <item x="1650"/>
        <item x="1091"/>
        <item x="2530"/>
        <item x="1725"/>
        <item x="661"/>
        <item x="407"/>
        <item x="535"/>
        <item x="1558"/>
        <item x="1338"/>
        <item x="1513"/>
        <item x="1267"/>
        <item x="1739"/>
        <item x="1296"/>
        <item x="1139"/>
        <item x="2037"/>
        <item x="2116"/>
        <item x="1056"/>
        <item x="934"/>
        <item x="543"/>
        <item x="1978"/>
        <item x="1692"/>
        <item x="219"/>
        <item x="1689"/>
        <item x="290"/>
        <item x="1198"/>
        <item x="2479"/>
        <item x="2058"/>
        <item x="2633"/>
        <item x="503"/>
        <item x="2366"/>
        <item x="63"/>
        <item x="167"/>
        <item x="2543"/>
        <item x="682"/>
        <item x="1299"/>
        <item x="943"/>
        <item x="2686"/>
        <item x="642"/>
        <item x="823"/>
        <item x="2566"/>
        <item x="685"/>
        <item x="2249"/>
        <item x="125"/>
        <item x="942"/>
        <item x="2333"/>
        <item x="1469"/>
        <item x="496"/>
        <item x="135"/>
        <item x="1151"/>
        <item x="2555"/>
        <item x="862"/>
        <item x="1521"/>
        <item x="2236"/>
        <item x="2156"/>
        <item x="405"/>
        <item x="670"/>
        <item x="291"/>
        <item x="77"/>
        <item x="2248"/>
        <item x="855"/>
        <item x="1542"/>
        <item x="1928"/>
        <item x="905"/>
        <item x="2733"/>
        <item x="2669"/>
        <item x="1535"/>
        <item x="142"/>
        <item x="318"/>
        <item x="635"/>
        <item x="891"/>
        <item x="1954"/>
        <item x="397"/>
        <item x="179"/>
        <item x="2278"/>
        <item x="2217"/>
        <item x="118"/>
        <item x="2411"/>
        <item x="1209"/>
        <item x="2420"/>
        <item x="61"/>
        <item x="2774"/>
        <item x="2045"/>
        <item x="162"/>
        <item x="2242"/>
        <item x="915"/>
        <item x="454"/>
        <item x="1831"/>
        <item x="115"/>
        <item x="2089"/>
        <item x="1355"/>
        <item x="1597"/>
        <item x="2006"/>
        <item x="506"/>
        <item x="0"/>
        <item x="1584"/>
        <item x="1003"/>
        <item x="223"/>
        <item x="1718"/>
        <item x="1012"/>
        <item x="1941"/>
        <item x="979"/>
        <item x="1969"/>
        <item x="1412"/>
        <item x="2667"/>
        <item x="1797"/>
        <item x="2363"/>
        <item x="1539"/>
        <item x="1498"/>
        <item x="1289"/>
        <item x="513"/>
        <item x="663"/>
        <item x="2250"/>
        <item x="863"/>
        <item x="740"/>
        <item x="2198"/>
        <item x="1352"/>
        <item x="1449"/>
        <item x="1220"/>
        <item x="144"/>
        <item x="2480"/>
        <item x="1503"/>
        <item x="1651"/>
        <item x="193"/>
        <item x="715"/>
        <item x="2365"/>
        <item x="1061"/>
        <item x="2099"/>
        <item x="1047"/>
        <item x="259"/>
        <item x="1750"/>
        <item x="180"/>
        <item x="278"/>
        <item x="1135"/>
        <item x="2594"/>
        <item x="1266"/>
        <item x="382"/>
        <item x="2540"/>
        <item x="160"/>
        <item x="772"/>
        <item x="2800"/>
        <item x="2340"/>
        <item x="1764"/>
        <item x="1612"/>
        <item x="966"/>
        <item x="1532"/>
        <item x="2238"/>
        <item x="2730"/>
        <item x="1530"/>
        <item x="2805"/>
        <item x="704"/>
        <item x="1956"/>
        <item x="1471"/>
        <item x="2426"/>
        <item x="899"/>
        <item x="225"/>
        <item x="1863"/>
        <item x="1860"/>
        <item x="620"/>
        <item x="242"/>
        <item x="1812"/>
        <item x="2280"/>
        <item x="691"/>
        <item x="1344"/>
        <item x="2658"/>
        <item x="1372"/>
        <item x="2160"/>
        <item x="1167"/>
        <item x="1916"/>
        <item x="2277"/>
        <item x="1962"/>
        <item x="559"/>
        <item x="1373"/>
        <item x="560"/>
        <item x="2141"/>
        <item x="2434"/>
        <item x="1333"/>
        <item x="968"/>
        <item x="2276"/>
        <item x="73"/>
        <item x="1082"/>
        <item x="1095"/>
        <item x="892"/>
        <item x="98"/>
        <item x="92"/>
        <item x="342"/>
        <item x="2769"/>
        <item x="2572"/>
        <item x="2416"/>
        <item x="1428"/>
        <item x="901"/>
        <item x="2614"/>
        <item x="2468"/>
        <item x="617"/>
        <item x="1238"/>
        <item x="2283"/>
        <item x="2425"/>
        <item x="202"/>
        <item x="1807"/>
        <item x="1166"/>
        <item x="1842"/>
        <item x="295"/>
        <item x="637"/>
        <item x="279"/>
        <item x="2324"/>
        <item x="2702"/>
        <item x="1265"/>
        <item x="1032"/>
        <item x="1466"/>
        <item x="2597"/>
        <item x="2180"/>
        <item x="2538"/>
        <item x="2166"/>
        <item x="796"/>
        <item x="2417"/>
        <item x="633"/>
        <item x="504"/>
        <item x="718"/>
        <item x="1158"/>
        <item x="1738"/>
        <item x="1844"/>
        <item x="1499"/>
        <item x="164"/>
        <item x="2603"/>
        <item x="2501"/>
        <item x="1624"/>
        <item x="597"/>
        <item x="768"/>
        <item x="1834"/>
        <item x="1746"/>
        <item x="2020"/>
        <item x="1102"/>
        <item x="48"/>
        <item x="2126"/>
        <item x="1268"/>
        <item x="2648"/>
        <item x="819"/>
        <item x="343"/>
        <item x="1581"/>
        <item x="1326"/>
        <item x="518"/>
        <item x="2500"/>
        <item x="1351"/>
        <item x="676"/>
        <item x="330"/>
        <item x="1343"/>
        <item x="1421"/>
        <item x="138"/>
        <item x="717"/>
        <item x="1436"/>
        <item x="2090"/>
        <item x="2342"/>
        <item x="1728"/>
        <item x="999"/>
        <item x="2698"/>
        <item x="17"/>
        <item x="211"/>
        <item x="2356"/>
        <item x="874"/>
        <item x="1610"/>
        <item x="2607"/>
        <item x="1508"/>
        <item x="548"/>
        <item x="1270"/>
        <item x="2036"/>
        <item x="650"/>
        <item x="2200"/>
        <item x="741"/>
        <item x="1041"/>
        <item x="2184"/>
        <item x="280"/>
        <item x="53"/>
        <item x="714"/>
        <item x="297"/>
        <item x="292"/>
        <item x="2213"/>
        <item x="1735"/>
        <item x="213"/>
        <item x="524"/>
        <item x="1511"/>
        <item x="1328"/>
        <item x="91"/>
        <item x="799"/>
        <item x="1354"/>
        <item x="127"/>
        <item x="2456"/>
        <item x="1626"/>
        <item x="331"/>
        <item x="2290"/>
        <item x="2643"/>
        <item x="953"/>
        <item x="2584"/>
        <item x="1518"/>
        <item x="2343"/>
        <item x="2244"/>
        <item x="227"/>
        <item x="173"/>
        <item x="638"/>
        <item x="315"/>
        <item x="1729"/>
        <item x="944"/>
        <item x="2650"/>
        <item x="355"/>
        <item x="521"/>
        <item x="877"/>
        <item x="47"/>
        <item x="1487"/>
        <item x="1375"/>
        <item x="1547"/>
        <item x="1384"/>
        <item x="1254"/>
        <item x="1870"/>
        <item x="136"/>
        <item x="2150"/>
        <item x="1781"/>
        <item x="2692"/>
        <item x="1578"/>
        <item x="1115"/>
        <item x="2589"/>
        <item x="797"/>
        <item x="2765"/>
        <item x="1940"/>
        <item x="696"/>
        <item x="230"/>
        <item x="406"/>
        <item x="2111"/>
        <item x="990"/>
        <item x="730"/>
        <item x="2690"/>
        <item x="254"/>
        <item x="1300"/>
        <item x="2256"/>
        <item x="568"/>
        <item x="2179"/>
        <item x="1240"/>
        <item x="2093"/>
        <item x="1877"/>
        <item x="2731"/>
        <item x="590"/>
        <item x="1084"/>
        <item x="1727"/>
        <item x="1444"/>
        <item x="1486"/>
        <item x="2683"/>
        <item x="458"/>
        <item x="1557"/>
        <item x="1671"/>
        <item x="739"/>
        <item x="441"/>
        <item x="757"/>
        <item x="1422"/>
        <item x="2406"/>
        <item x="1930"/>
        <item x="1208"/>
        <item x="2657"/>
        <item x="2199"/>
        <item x="2718"/>
        <item x="1076"/>
        <item x="1537"/>
        <item x="1020"/>
        <item x="779"/>
        <item x="12"/>
        <item x="1734"/>
        <item x="149"/>
        <item x="2135"/>
        <item x="1365"/>
        <item x="2529"/>
        <item x="156"/>
        <item x="945"/>
        <item x="2580"/>
        <item x="579"/>
        <item x="88"/>
        <item x="75"/>
        <item x="1716"/>
        <item x="621"/>
        <item x="808"/>
        <item x="1787"/>
        <item x="461"/>
        <item x="344"/>
        <item x="1541"/>
        <item x="1025"/>
        <item x="2169"/>
        <item x="2145"/>
        <item x="2394"/>
        <item x="1602"/>
        <item x="525"/>
        <item x="2066"/>
        <item x="1189"/>
        <item x="2743"/>
        <item x="2054"/>
        <item x="2027"/>
        <item x="2486"/>
        <item x="2407"/>
        <item x="1570"/>
        <item x="305"/>
        <item x="2722"/>
        <item x="801"/>
        <item x="38"/>
        <item x="491"/>
        <item x="2435"/>
        <item x="2167"/>
        <item x="2713"/>
        <item x="222"/>
        <item x="2357"/>
        <item x="807"/>
        <item x="1841"/>
        <item x="1717"/>
        <item x="37"/>
        <item x="754"/>
        <item x="2586"/>
        <item x="716"/>
        <item x="1129"/>
        <item x="2409"/>
        <item x="2300"/>
        <item x="1120"/>
        <item x="2395"/>
        <item x="1993"/>
        <item x="260"/>
        <item x="2182"/>
        <item x="2046"/>
        <item x="2074"/>
        <item x="90"/>
        <item x="871"/>
        <item x="1447"/>
        <item x="210"/>
        <item x="476"/>
        <item x="582"/>
        <item x="2212"/>
        <item x="997"/>
        <item x="1119"/>
        <item x="2606"/>
        <item x="2797"/>
        <item x="262"/>
        <item x="1609"/>
        <item x="1502"/>
        <item x="24"/>
        <item x="2459"/>
        <item x="2478"/>
        <item x="1808"/>
        <item x="974"/>
        <item x="1169"/>
        <item x="1435"/>
        <item x="1262"/>
        <item x="794"/>
        <item x="512"/>
        <item x="952"/>
        <item x="916"/>
        <item x="1992"/>
        <item x="1896"/>
        <item x="2605"/>
        <item x="2330"/>
        <item x="192"/>
        <item x="1715"/>
        <item x="1443"/>
        <item x="951"/>
        <item x="2680"/>
        <item x="1907"/>
        <item x="2615"/>
        <item x="124"/>
        <item x="2279"/>
        <item x="1356"/>
        <item x="1491"/>
        <item x="2518"/>
        <item x="962"/>
        <item x="60"/>
        <item x="853"/>
        <item x="1965"/>
        <item x="7"/>
        <item x="1031"/>
        <item x="1021"/>
        <item x="494"/>
        <item x="1830"/>
        <item x="1856"/>
        <item x="477"/>
        <item x="112"/>
        <item x="2257"/>
        <item x="462"/>
        <item x="1283"/>
        <item x="237"/>
        <item x="1848"/>
        <item x="2216"/>
        <item x="196"/>
        <item x="672"/>
        <item x="1482"/>
        <item x="379"/>
        <item x="2749"/>
        <item x="681"/>
        <item x="2579"/>
        <item x="2078"/>
        <item x="2260"/>
        <item x="733"/>
        <item x="1313"/>
        <item x="2637"/>
        <item x="1927"/>
        <item x="150"/>
        <item x="2574"/>
        <item x="1623"/>
        <item x="784"/>
        <item x="208"/>
        <item x="1601"/>
        <item x="2130"/>
        <item x="2328"/>
        <item x="1080"/>
        <item x="2035"/>
        <item x="467"/>
        <item x="1835"/>
        <item x="1463"/>
        <item x="1126"/>
        <item x="1089"/>
        <item x="549"/>
        <item x="2541"/>
        <item x="1281"/>
        <item x="2476"/>
        <item x="62"/>
        <item x="2178"/>
        <item x="977"/>
        <item x="1719"/>
        <item x="2392"/>
        <item x="885"/>
        <item x="1905"/>
        <item x="1669"/>
        <item x="2467"/>
        <item x="1069"/>
        <item x="1720"/>
        <item x="1026"/>
        <item x="1859"/>
        <item x="1613"/>
        <item x="1577"/>
        <item x="430"/>
        <item x="1661"/>
        <item x="2386"/>
        <item x="1736"/>
        <item x="2146"/>
        <item x="1314"/>
        <item x="2269"/>
        <item x="277"/>
        <item x="557"/>
        <item x="267"/>
        <item x="742"/>
        <item x="1914"/>
        <item x="2684"/>
        <item x="2709"/>
        <item x="1538"/>
        <item x="1777"/>
        <item x="1392"/>
        <item x="2375"/>
        <item x="1548"/>
        <item x="1448"/>
        <item x="526"/>
        <item x="2751"/>
        <item x="1621"/>
        <item x="139"/>
        <item x="442"/>
        <item x="2004"/>
        <item x="1963"/>
        <item x="89"/>
        <item x="2241"/>
        <item x="2666"/>
        <item x="372"/>
        <item x="933"/>
        <item x="2717"/>
        <item x="102"/>
        <item x="1643"/>
        <item x="104"/>
        <item x="2306"/>
        <item x="455"/>
        <item x="1441"/>
        <item x="1432"/>
        <item x="1754"/>
        <item x="878"/>
        <item x="1250"/>
        <item x="1564"/>
        <item x="884"/>
        <item x="417"/>
        <item x="1952"/>
        <item x="320"/>
        <item x="1939"/>
        <item x="827"/>
        <item x="1771"/>
        <item x="1221"/>
        <item x="1634"/>
        <item x="1800"/>
        <item x="2773"/>
        <item x="2115"/>
        <item x="464"/>
        <item x="1042"/>
        <item x="1000"/>
        <item x="2786"/>
        <item x="101"/>
        <item x="466"/>
        <item x="353"/>
        <item x="2068"/>
        <item x="204"/>
        <item x="490"/>
        <item x="2431"/>
        <item x="2526"/>
        <item x="1828"/>
        <item x="2157"/>
        <item x="433"/>
        <item x="684"/>
        <item x="2358"/>
        <item x="1358"/>
        <item x="128"/>
        <item x="2154"/>
        <item x="1079"/>
        <item x="1522"/>
        <item x="2430"/>
        <item x="52"/>
        <item x="1083"/>
        <item x="20"/>
        <item x="1322"/>
        <item x="870"/>
        <item x="1784"/>
        <item x="2806"/>
        <item x="965"/>
        <item x="352"/>
        <item x="2336"/>
        <item x="1929"/>
        <item x="18"/>
        <item x="1633"/>
        <item x="2007"/>
        <item x="1445"/>
        <item x="1066"/>
        <item x="1011"/>
        <item x="159"/>
        <item x="303"/>
        <item x="2237"/>
        <item x="470"/>
        <item x="1225"/>
        <item x="1968"/>
        <item x="1385"/>
        <item x="1048"/>
        <item x="886"/>
        <item x="675"/>
        <item x="240"/>
        <item x="1446"/>
        <item x="2710"/>
        <item x="1019"/>
        <item x="572"/>
        <item x="276"/>
        <item x="1648"/>
        <item x="615"/>
        <item x="1363"/>
        <item x="2297"/>
        <item x="982"/>
        <item x="456"/>
        <item x="2523"/>
        <item x="1659"/>
        <item x="2659"/>
        <item x="1008"/>
        <item x="1386"/>
        <item x="926"/>
        <item x="824"/>
        <item x="206"/>
        <item x="1649"/>
        <item x="1534"/>
        <item x="2062"/>
        <item x="1398"/>
        <item x="2345"/>
        <item x="94"/>
        <item x="522"/>
        <item x="2284"/>
        <item x="2798"/>
        <item x="636"/>
        <item x="2134"/>
        <item x="2645"/>
        <item x="2296"/>
        <item x="2377"/>
        <item x="2436"/>
        <item x="437"/>
        <item x="2455"/>
        <item x="593"/>
        <item x="488"/>
        <item x="613"/>
        <item x="2023"/>
        <item x="1604"/>
        <item x="570"/>
        <item x="1712"/>
        <item x="771"/>
        <item x="1187"/>
        <item x="711"/>
        <item x="699"/>
        <item x="940"/>
        <item x="1430"/>
        <item x="1713"/>
        <item x="1239"/>
        <item x="329"/>
        <item x="1001"/>
        <item x="697"/>
        <item x="1218"/>
        <item x="2489"/>
        <item x="1081"/>
        <item x="1868"/>
        <item x="664"/>
        <item x="1452"/>
        <item x="1097"/>
        <item x="1676"/>
        <item x="2041"/>
        <item x="2100"/>
        <item x="2576"/>
        <item x="1765"/>
        <item x="1675"/>
        <item x="1917"/>
        <item x="1103"/>
        <item x="306"/>
        <item x="1934"/>
        <item x="354"/>
        <item x="608"/>
        <item x="2385"/>
        <item x="712"/>
        <item x="191"/>
        <item x="903"/>
        <item x="2098"/>
        <item x="1462"/>
        <item x="1909"/>
        <item x="2639"/>
        <item x="1898"/>
        <item x="2700"/>
        <item x="1173"/>
        <item x="1181"/>
        <item x="2660"/>
        <item x="1481"/>
        <item x="2299"/>
        <item x="747"/>
        <item x="1815"/>
        <item x="151"/>
        <item x="1751"/>
        <item x="1595"/>
        <item x="2711"/>
        <item x="1695"/>
        <item x="154"/>
        <item x="380"/>
        <item x="187"/>
        <item x="341"/>
        <item x="1516"/>
        <item x="1171"/>
        <item x="1165"/>
        <item x="2427"/>
        <item x="1596"/>
        <item x="2444"/>
        <item x="2785"/>
        <item x="2546"/>
        <item x="1092"/>
        <item x="517"/>
        <item x="1190"/>
        <item x="1495"/>
        <item x="1733"/>
        <item x="293"/>
        <item x="2399"/>
        <item x="1594"/>
        <item x="1504"/>
        <item x="702"/>
        <item x="2225"/>
        <item x="640"/>
        <item x="507"/>
        <item x="1301"/>
        <item x="2025"/>
        <item x="492"/>
        <item x="2320"/>
        <item x="1568"/>
        <item x="2151"/>
        <item x="345"/>
        <item x="634"/>
        <item x="2067"/>
        <item x="443"/>
        <item x="834"/>
        <item x="1035"/>
        <item x="31"/>
        <item x="607"/>
        <item x="1312"/>
        <item x="2458"/>
        <item x="2764"/>
        <item x="23"/>
        <item x="520"/>
        <item x="1077"/>
        <item x="2221"/>
        <item x="2752"/>
        <item x="743"/>
        <item x="1646"/>
        <item x="1683"/>
        <item x="1809"/>
        <item x="201"/>
        <item x="2396"/>
        <item x="1674"/>
        <item x="519"/>
        <item x="2344"/>
        <item x="404"/>
        <item x="1248"/>
        <item x="2113"/>
        <item x="770"/>
        <item x="2689"/>
        <item x="2678"/>
        <item x="1128"/>
        <item x="161"/>
        <item x="1117"/>
        <item x="2374"/>
        <item x="258"/>
        <item x="630"/>
        <item x="665"/>
        <item x="753"/>
        <item x="967"/>
        <item x="537"/>
        <item x="2171"/>
        <item x="2005"/>
        <item x="2079"/>
        <item x="126"/>
        <item x="8"/>
        <item x="1149"/>
        <item x="2676"/>
        <item x="457"/>
        <item x="194"/>
        <item x="551"/>
        <item x="1673"/>
        <item x="332"/>
        <item x="1104"/>
        <item x="674"/>
        <item x="1241"/>
        <item x="580"/>
        <item x="2771"/>
        <item x="2073"/>
        <item x="2401"/>
        <item x="536"/>
        <item x="2571"/>
        <item x="2756"/>
        <item x="1361"/>
        <item x="1323"/>
        <item x="1207"/>
        <item x="1393"/>
        <item x="1707"/>
        <item x="1533"/>
        <item x="444"/>
        <item x="195"/>
        <item x="738"/>
        <item x="859"/>
        <item x="1170"/>
        <item x="2517"/>
        <item x="1192"/>
        <item x="515"/>
        <item x="1411"/>
        <item x="493"/>
        <item x="2528"/>
        <item x="1966"/>
        <item x="1523"/>
        <item x="1215"/>
        <item x="205"/>
        <item x="2214"/>
        <item x="2317"/>
        <item x="769"/>
        <item x="1140"/>
        <item x="900"/>
        <item x="359"/>
        <item x="2560"/>
        <item x="902"/>
        <item x="1202"/>
        <item x="2383"/>
        <item x="113"/>
        <item x="1362"/>
        <item x="1994"/>
        <item x="1566"/>
        <item x="1350"/>
        <item x="1370"/>
        <item x="1101"/>
        <item x="1483"/>
        <item x="591"/>
        <item x="1470"/>
        <item x="78"/>
        <item x="281"/>
        <item x="2691"/>
        <item x="1130"/>
        <item x="925"/>
        <item x="1148"/>
        <item x="781"/>
        <item x="257"/>
        <item x="558"/>
        <item x="304"/>
        <item x="767"/>
        <item x="325"/>
        <item x="21"/>
        <item x="917"/>
        <item x="1693"/>
        <item x="2286"/>
        <item x="2044"/>
        <item x="425"/>
        <item x="2477"/>
        <item x="214"/>
        <item x="79"/>
        <item x="356"/>
        <item x="256"/>
        <item x="1387"/>
        <item x="2611"/>
        <item x="2285"/>
        <item x="534"/>
        <item x="1663"/>
        <item x="1554"/>
        <item x="2487"/>
        <item x="11"/>
        <item x="1737"/>
        <item x="468"/>
        <item x="1078"/>
        <item x="1590"/>
        <item x="2432"/>
        <item x="1141"/>
        <item x="2516"/>
        <item x="1761"/>
        <item x="1179"/>
        <item x="2481"/>
        <item x="1152"/>
        <item x="469"/>
        <item x="9"/>
        <item x="1665"/>
        <item x="25"/>
        <item x="1150"/>
        <item x="1567"/>
        <item x="2622"/>
        <item x="2561"/>
        <item x="1861"/>
        <item x="1180"/>
        <item x="683"/>
        <item x="2647"/>
        <item x="1118"/>
        <item x="795"/>
        <item x="1269"/>
        <item x="1858"/>
        <item x="851"/>
        <item x="1467"/>
        <item x="46"/>
        <item x="1884"/>
        <item x="1371"/>
        <item x="996"/>
        <item x="302"/>
        <item x="1622"/>
        <item x="701"/>
        <item x="2668"/>
        <item x="2024"/>
        <item x="426"/>
        <item x="1684"/>
        <item x="1409"/>
        <item x="1979"/>
        <item x="841"/>
        <item x="1660"/>
        <item x="340"/>
        <item x="2038"/>
        <item x="2631"/>
        <item x="284"/>
        <item x="1996"/>
        <item x="2311"/>
        <item x="1359"/>
        <item x="1203"/>
        <item x="505"/>
        <item x="639"/>
        <item x="1991"/>
        <item x="2170"/>
        <item x="2322"/>
        <item x="2772"/>
        <item x="1420"/>
        <item x="660"/>
        <item x="1024"/>
        <item x="1705"/>
        <item x="1357"/>
        <item x="49"/>
        <item x="2114"/>
        <item x="1282"/>
        <item x="2136"/>
        <item x="618"/>
        <item x="2562"/>
        <item x="950"/>
        <item x="1034"/>
        <item x="2309"/>
        <item x="569"/>
        <item x="1762"/>
        <item x="447"/>
        <item x="1685"/>
        <item x="1153"/>
        <item x="273"/>
        <item x="2490"/>
        <item x="2410"/>
        <item x="988"/>
        <item x="2697"/>
        <item x="606"/>
        <item x="39"/>
        <item x="51"/>
        <item x="2514"/>
        <item x="357"/>
        <item x="1154"/>
        <item x="209"/>
        <item x="1582"/>
        <item x="361"/>
        <item x="2341"/>
        <item x="2640"/>
        <item x="1509"/>
        <item x="2519"/>
        <item x="1849"/>
        <item x="2140"/>
        <item x="1748"/>
        <item x="1658"/>
        <item x="2470"/>
        <item x="975"/>
        <item x="1605"/>
        <item x="2604"/>
        <item x="2376"/>
        <item x="2799"/>
        <item x="479"/>
        <item x="1832"/>
        <item x="1324"/>
        <item x="1419"/>
        <item x="673"/>
        <item x="2585"/>
        <item x="1981"/>
        <item x="1252"/>
        <item x="445"/>
        <item x="1694"/>
        <item x="828"/>
        <item x="1821"/>
        <item x="2646"/>
        <item x="652"/>
        <item x="1204"/>
        <item x="598"/>
        <item x="2563"/>
        <item x="145"/>
        <item x="1775"/>
        <item x="2457"/>
        <item x="1657"/>
        <item x="2215"/>
        <item x="1937"/>
        <item x="838"/>
        <item x="2301"/>
        <item x="1093"/>
        <item x="228"/>
        <item x="1819"/>
        <item x="927"/>
        <item x="1336"/>
        <item x="1222"/>
        <item x="1867"/>
        <item x="2281"/>
        <item x="2675"/>
        <item x="2247"/>
        <item x="2282"/>
        <item x="872"/>
        <item x="1027"/>
        <item x="1970"/>
        <item x="317"/>
        <item x="1670"/>
        <item x="2634"/>
        <item x="475"/>
        <item x="2418"/>
        <item x="852"/>
        <item x="1106"/>
        <item x="1253"/>
        <item x="1146"/>
        <item x="2069"/>
        <item x="659"/>
        <item x="2028"/>
        <item x="820"/>
        <item x="1740"/>
        <item x="1500"/>
        <item x="2679"/>
        <item x="1096"/>
        <item x="1829"/>
        <item x="1442"/>
        <item x="1706"/>
        <item x="2471"/>
        <item x="189"/>
        <item x="2716"/>
        <item x="2287"/>
        <item x="1763"/>
        <item x="2515"/>
        <item x="826"/>
        <item x="2097"/>
        <item x="274"/>
        <item x="1886"/>
        <item x="939"/>
        <item x="2635"/>
        <item x="333"/>
        <item x="1925"/>
        <item x="1569"/>
        <item x="2258"/>
        <item x="1766"/>
        <item t="default"/>
      </items>
    </pivotField>
    <pivotField dataField="1" dragToCol="0" dragToPage="0" dragToRow="0" compact="0" showAll="0"/>
    <pivotField dragToCol="0" dragToPage="0" dragToRow="0" compact="0" showAll="0"/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17"/>
    </i>
    <i>
      <x v="7"/>
    </i>
    <i>
      <x v="2"/>
    </i>
  </rowItems>
  <colFields count="1">
    <field x="-2"/>
  </colFields>
  <colItems count="2">
    <i>
      <x/>
    </i>
    <i i="1">
      <x v="1"/>
    </i>
  </colItems>
  <dataFields count="2">
    <dataField name="Количество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8" cacheId="0" autoFormatId="1" applyNumberFormats="0" applyBorderFormats="0" applyFontFormats="0" applyPatternFormats="0" applyAlignmentFormats="0" applyWidthHeightFormats="1" dataCaption="Значения" updatedVersion="5" minRefreshableVersion="3" createdVersion="5" rowGrandTotals="0" colGrandTotals="0" compact="0" indent="0" outline="1" compactData="0" outlineData="1" showDrill="1" multipleFieldFilters="0">
  <location ref="A3:B240" firstHeaderRow="1" firstDataRow="1" firstDataCol="1"/>
  <pivotFields count="6">
    <pivotField compact="0" showAll="0">
      <items count="21">
        <item x="10"/>
        <item x="16"/>
        <item x="11"/>
        <item x="0"/>
        <item x="18"/>
        <item x="1"/>
        <item x="2"/>
        <item x="13"/>
        <item x="14"/>
        <item x="3"/>
        <item x="8"/>
        <item x="4"/>
        <item x="15"/>
        <item x="9"/>
        <item x="17"/>
        <item x="12"/>
        <item x="5"/>
        <item x="19"/>
        <item x="6"/>
        <item x="7"/>
        <item t="default"/>
      </items>
    </pivotField>
    <pivotField axis="axisRow" compact="0" showAll="0">
      <items count="238">
        <item x="0"/>
        <item x="128"/>
        <item x="221"/>
        <item x="7"/>
        <item x="194"/>
        <item x="159"/>
        <item x="142"/>
        <item x="193"/>
        <item x="236"/>
        <item x="19"/>
        <item x="58"/>
        <item x="63"/>
        <item x="223"/>
        <item x="59"/>
        <item x="8"/>
        <item x="45"/>
        <item x="4"/>
        <item x="33"/>
        <item x="15"/>
        <item x="201"/>
        <item x="197"/>
        <item x="169"/>
        <item x="204"/>
        <item x="102"/>
        <item x="40"/>
        <item x="99"/>
        <item x="188"/>
        <item x="153"/>
        <item x="150"/>
        <item x="107"/>
        <item x="160"/>
        <item x="154"/>
        <item x="232"/>
        <item x="192"/>
        <item x="97"/>
        <item x="53"/>
        <item x="222"/>
        <item x="41"/>
        <item x="52"/>
        <item x="17"/>
        <item x="212"/>
        <item x="113"/>
        <item x="210"/>
        <item x="230"/>
        <item x="79"/>
        <item x="103"/>
        <item x="133"/>
        <item x="51"/>
        <item x="131"/>
        <item x="29"/>
        <item x="100"/>
        <item x="14"/>
        <item x="89"/>
        <item x="65"/>
        <item x="85"/>
        <item x="202"/>
        <item x="235"/>
        <item x="27"/>
        <item x="185"/>
        <item x="225"/>
        <item x="55"/>
        <item x="26"/>
        <item x="42"/>
        <item x="68"/>
        <item x="143"/>
        <item x="9"/>
        <item x="196"/>
        <item x="101"/>
        <item x="32"/>
        <item x="129"/>
        <item x="172"/>
        <item x="90"/>
        <item x="158"/>
        <item x="213"/>
        <item x="156"/>
        <item x="12"/>
        <item x="46"/>
        <item x="195"/>
        <item x="20"/>
        <item x="37"/>
        <item x="208"/>
        <item x="47"/>
        <item x="95"/>
        <item x="141"/>
        <item x="30"/>
        <item x="186"/>
        <item x="86"/>
        <item x="111"/>
        <item x="165"/>
        <item x="162"/>
        <item x="164"/>
        <item x="48"/>
        <item x="64"/>
        <item x="130"/>
        <item x="124"/>
        <item x="56"/>
        <item x="227"/>
        <item x="49"/>
        <item x="180"/>
        <item x="21"/>
        <item x="5"/>
        <item x="28"/>
        <item x="1"/>
        <item x="34"/>
        <item x="120"/>
        <item x="179"/>
        <item x="147"/>
        <item x="209"/>
        <item x="38"/>
        <item x="139"/>
        <item x="145"/>
        <item x="70"/>
        <item x="105"/>
        <item x="187"/>
        <item x="140"/>
        <item x="106"/>
        <item x="220"/>
        <item x="121"/>
        <item x="205"/>
        <item x="13"/>
        <item x="170"/>
        <item x="22"/>
        <item x="134"/>
        <item x="16"/>
        <item x="127"/>
        <item x="146"/>
        <item x="18"/>
        <item x="122"/>
        <item x="166"/>
        <item x="203"/>
        <item x="23"/>
        <item x="176"/>
        <item x="110"/>
        <item x="115"/>
        <item x="43"/>
        <item x="199"/>
        <item x="87"/>
        <item x="93"/>
        <item x="2"/>
        <item x="151"/>
        <item x="182"/>
        <item x="123"/>
        <item x="104"/>
        <item x="98"/>
        <item x="108"/>
        <item x="135"/>
        <item x="229"/>
        <item x="206"/>
        <item x="181"/>
        <item x="119"/>
        <item x="163"/>
        <item x="10"/>
        <item x="11"/>
        <item x="155"/>
        <item x="66"/>
        <item x="125"/>
        <item x="214"/>
        <item x="136"/>
        <item x="92"/>
        <item x="138"/>
        <item x="207"/>
        <item x="88"/>
        <item x="171"/>
        <item x="114"/>
        <item x="78"/>
        <item x="190"/>
        <item x="62"/>
        <item x="6"/>
        <item x="83"/>
        <item x="228"/>
        <item x="226"/>
        <item x="191"/>
        <item x="94"/>
        <item x="116"/>
        <item x="117"/>
        <item x="74"/>
        <item x="173"/>
        <item x="175"/>
        <item x="54"/>
        <item x="231"/>
        <item x="71"/>
        <item x="161"/>
        <item x="137"/>
        <item x="149"/>
        <item x="211"/>
        <item x="215"/>
        <item x="77"/>
        <item x="80"/>
        <item x="216"/>
        <item x="157"/>
        <item x="183"/>
        <item x="178"/>
        <item x="198"/>
        <item x="82"/>
        <item x="69"/>
        <item x="219"/>
        <item x="126"/>
        <item x="84"/>
        <item x="31"/>
        <item x="67"/>
        <item x="72"/>
        <item x="200"/>
        <item x="174"/>
        <item x="112"/>
        <item x="57"/>
        <item x="217"/>
        <item x="75"/>
        <item x="144"/>
        <item x="24"/>
        <item x="167"/>
        <item x="184"/>
        <item x="39"/>
        <item x="3"/>
        <item x="81"/>
        <item x="73"/>
        <item x="233"/>
        <item x="177"/>
        <item x="25"/>
        <item x="152"/>
        <item x="76"/>
        <item x="132"/>
        <item x="60"/>
        <item x="148"/>
        <item x="224"/>
        <item x="168"/>
        <item x="118"/>
        <item x="35"/>
        <item x="36"/>
        <item x="96"/>
        <item x="91"/>
        <item x="50"/>
        <item x="218"/>
        <item x="61"/>
        <item x="109"/>
        <item x="189"/>
        <item x="234"/>
        <item x="44"/>
        <item t="default"/>
      </items>
    </pivotField>
    <pivotField compact="0" numFmtId="179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numFmtId="3" showAll="0">
      <items count="2809">
        <item x="170"/>
        <item x="2415"/>
        <item x="1839"/>
        <item x="2599"/>
        <item x="2048"/>
        <item x="2617"/>
        <item x="1339"/>
        <item x="2128"/>
        <item x="181"/>
        <item x="69"/>
        <item x="1525"/>
        <item x="5"/>
        <item x="2511"/>
        <item x="199"/>
        <item x="566"/>
        <item x="2525"/>
        <item x="2524"/>
        <item x="1974"/>
        <item x="2013"/>
        <item x="377"/>
        <item x="1759"/>
        <item x="1780"/>
        <item x="2009"/>
        <item x="296"/>
        <item x="2143"/>
        <item x="1891"/>
        <item x="1110"/>
        <item x="1185"/>
        <item x="269"/>
        <item x="14"/>
        <item x="1980"/>
        <item x="1304"/>
        <item x="1109"/>
        <item x="2173"/>
        <item x="374"/>
        <item x="1776"/>
        <item x="1177"/>
        <item x="725"/>
        <item x="854"/>
        <item x="1892"/>
        <item x="2379"/>
        <item x="2203"/>
        <item x="4"/>
        <item x="1014"/>
        <item x="595"/>
        <item x="2662"/>
        <item x="609"/>
        <item x="961"/>
        <item x="1550"/>
        <item x="1364"/>
        <item x="1028"/>
        <item x="1105"/>
        <item x="176"/>
        <item x="1960"/>
        <item x="414"/>
        <item x="1866"/>
        <item x="2335"/>
        <item x="2736"/>
        <item x="690"/>
        <item x="723"/>
        <item x="1054"/>
        <item x="2739"/>
        <item x="1327"/>
        <item x="68"/>
        <item x="1455"/>
        <item x="1758"/>
        <item x="1901"/>
        <item x="1156"/>
        <item x="2802"/>
        <item x="2209"/>
        <item x="1814"/>
        <item x="1407"/>
        <item x="2096"/>
        <item x="2000"/>
        <item x="1512"/>
        <item x="436"/>
        <item x="171"/>
        <item x="42"/>
        <item x="2745"/>
        <item x="1625"/>
        <item x="1121"/>
        <item x="2106"/>
        <item x="286"/>
        <item x="1055"/>
        <item x="2616"/>
        <item x="117"/>
        <item x="373"/>
        <item x="2510"/>
        <item x="360"/>
        <item x="2381"/>
        <item x="1234"/>
        <item x="1790"/>
        <item x="2781"/>
        <item x="2159"/>
        <item x="2623"/>
        <item x="2789"/>
        <item x="2204"/>
        <item x="924"/>
        <item x="1687"/>
        <item x="1726"/>
        <item x="2737"/>
        <item x="2671"/>
        <item x="2412"/>
        <item x="1836"/>
        <item x="1273"/>
        <item x="2334"/>
        <item x="706"/>
        <item x="1935"/>
        <item x="250"/>
        <item x="1985"/>
        <item x="890"/>
        <item x="131"/>
        <item x="906"/>
        <item x="843"/>
        <item x="2164"/>
        <item x="336"/>
        <item x="1036"/>
        <item x="2059"/>
        <item x="1585"/>
        <item x="1472"/>
        <item x="1724"/>
        <item x="812"/>
        <item x="141"/>
        <item x="956"/>
        <item x="2094"/>
        <item x="1755"/>
        <item x="1073"/>
        <item x="1802"/>
        <item x="328"/>
        <item x="1573"/>
        <item x="689"/>
        <item x="1528"/>
        <item x="116"/>
        <item x="920"/>
        <item x="788"/>
        <item x="484"/>
        <item x="991"/>
        <item x="810"/>
        <item x="389"/>
        <item x="264"/>
        <item x="435"/>
        <item x="2323"/>
        <item x="811"/>
        <item x="1752"/>
        <item x="1423"/>
        <item x="2482"/>
        <item x="722"/>
        <item x="1087"/>
        <item x="1900"/>
        <item x="1638"/>
        <item x="1085"/>
        <item x="1050"/>
        <item x="2610"/>
        <item x="169"/>
        <item x="586"/>
        <item x="1319"/>
        <item x="763"/>
        <item x="842"/>
        <item x="1944"/>
        <item x="2369"/>
        <item x="575"/>
        <item x="955"/>
        <item x="1133"/>
        <item x="724"/>
        <item x="1315"/>
        <item x="26"/>
        <item x="2448"/>
        <item x="2327"/>
        <item x="1368"/>
        <item x="2413"/>
        <item x="2753"/>
        <item x="2047"/>
        <item x="1883"/>
        <item x="2359"/>
        <item x="2462"/>
        <item x="449"/>
        <item x="1406"/>
        <item x="677"/>
        <item x="2626"/>
        <item x="1519"/>
        <item x="1488"/>
        <item x="2292"/>
        <item x="483"/>
        <item x="1086"/>
        <item x="2577"/>
        <item x="13"/>
        <item x="849"/>
        <item x="2218"/>
        <item x="2202"/>
        <item x="2148"/>
        <item x="1213"/>
        <item x="1195"/>
        <item x="1698"/>
        <item x="1159"/>
        <item x="833"/>
        <item x="119"/>
        <item x="1450"/>
        <item x="411"/>
        <item x="1722"/>
        <item x="864"/>
        <item x="2757"/>
        <item x="957"/>
        <item x="858"/>
        <item x="1688"/>
        <item x="83"/>
        <item x="1825"/>
        <item x="1123"/>
        <item x="802"/>
        <item x="728"/>
        <item x="2032"/>
        <item x="1524"/>
        <item x="108"/>
        <item x="994"/>
        <item x="1245"/>
        <item x="2763"/>
        <item x="2271"/>
        <item x="2118"/>
        <item x="984"/>
        <item x="765"/>
        <item x="133"/>
        <item x="2175"/>
        <item x="1477"/>
        <item x="285"/>
        <item x="656"/>
        <item x="1973"/>
        <item x="410"/>
        <item x="2629"/>
        <item x="1415"/>
        <item x="2758"/>
        <item x="84"/>
        <item x="2440"/>
        <item x="197"/>
        <item x="1690"/>
        <item x="2016"/>
        <item x="1259"/>
        <item x="2001"/>
        <item x="2801"/>
        <item x="1723"/>
        <item x="1063"/>
        <item x="574"/>
        <item x="2072"/>
        <item x="775"/>
        <item x="687"/>
        <item x="1004"/>
        <item x="1864"/>
        <item x="1376"/>
        <item x="200"/>
        <item x="1629"/>
        <item x="2261"/>
        <item x="2353"/>
        <item x="2449"/>
        <item x="1244"/>
        <item x="2088"/>
        <item x="2641"/>
        <item x="2252"/>
        <item x="1697"/>
        <item x="2609"/>
        <item x="2017"/>
        <item x="2194"/>
        <item x="1588"/>
        <item x="577"/>
        <item x="2628"/>
        <item x="2264"/>
        <item x="2552"/>
        <item x="2570"/>
        <item x="814"/>
        <item x="1456"/>
        <item x="2262"/>
        <item x="1680"/>
        <item x="1143"/>
        <item x="326"/>
        <item x="832"/>
        <item x="2360"/>
        <item x="1307"/>
        <item x="707"/>
        <item x="1796"/>
        <item x="1349"/>
        <item x="2288"/>
        <item x="1144"/>
        <item x="895"/>
        <item x="1489"/>
        <item x="804"/>
        <item x="1438"/>
        <item x="1574"/>
        <item x="134"/>
        <item x="2149"/>
        <item x="2163"/>
        <item x="2188"/>
        <item x="2368"/>
        <item x="830"/>
        <item x="865"/>
        <item x="1114"/>
        <item x="2087"/>
        <item x="645"/>
        <item x="2266"/>
        <item x="1653"/>
        <item x="2472"/>
        <item x="1681"/>
        <item x="1377"/>
        <item x="2174"/>
        <item x="611"/>
        <item x="2550"/>
        <item x="2104"/>
        <item x="2728"/>
        <item x="657"/>
        <item x="1424"/>
        <item x="829"/>
        <item x="1607"/>
        <item x="2"/>
        <item x="2172"/>
        <item x="1506"/>
        <item x="152"/>
        <item x="2329"/>
        <item x="2665"/>
        <item x="419"/>
        <item x="182"/>
        <item x="1071"/>
        <item x="2492"/>
        <item x="2060"/>
        <item x="1880"/>
        <item x="1617"/>
        <item x="401"/>
        <item x="309"/>
        <item x="538"/>
        <item x="368"/>
        <item x="1743"/>
        <item x="1583"/>
        <item x="298"/>
        <item x="243"/>
        <item x="1493"/>
        <item x="2664"/>
        <item x="1793"/>
        <item x="2581"/>
        <item x="624"/>
        <item x="641"/>
        <item x="2591"/>
        <item x="2186"/>
        <item x="2086"/>
        <item x="2011"/>
        <item x="416"/>
        <item x="2726"/>
        <item x="888"/>
        <item x="1878"/>
        <item x="688"/>
        <item x="1274"/>
        <item x="215"/>
        <item x="168"/>
        <item x="2192"/>
        <item x="1064"/>
        <item x="1890"/>
        <item x="1510"/>
        <item x="2091"/>
        <item x="1899"/>
        <item x="2759"/>
        <item x="1635"/>
        <item x="540"/>
        <item x="1760"/>
        <item x="106"/>
        <item x="2084"/>
        <item x="1255"/>
        <item x="2544"/>
        <item x="1132"/>
        <item x="936"/>
        <item x="803"/>
        <item x="2349"/>
        <item x="1029"/>
        <item x="2274"/>
        <item x="1425"/>
        <item x="1474"/>
        <item x="375"/>
        <item x="172"/>
        <item x="539"/>
        <item x="55"/>
        <item x="1794"/>
        <item x="2010"/>
        <item x="960"/>
        <item x="310"/>
        <item x="2777"/>
        <item x="983"/>
        <item x="32"/>
        <item x="2229"/>
        <item x="1016"/>
        <item x="2619"/>
        <item x="1882"/>
        <item x="1959"/>
        <item x="2725"/>
        <item x="2273"/>
        <item x="1378"/>
        <item x="692"/>
        <item x="1576"/>
        <item x="2231"/>
        <item x="2325"/>
        <item x="2441"/>
        <item x="1408"/>
        <item x="275"/>
        <item x="2232"/>
        <item x="1770"/>
        <item x="1232"/>
        <item x="198"/>
        <item x="121"/>
        <item x="392"/>
        <item x="726"/>
        <item x="1593"/>
        <item x="1310"/>
        <item x="82"/>
        <item x="2681"/>
        <item x="288"/>
        <item x="1098"/>
        <item x="1060"/>
        <item x="856"/>
        <item x="2107"/>
        <item x="1457"/>
        <item x="1006"/>
        <item x="245"/>
        <item x="1778"/>
        <item x="2740"/>
        <item x="2788"/>
        <item x="1549"/>
        <item x="399"/>
        <item x="1002"/>
        <item x="1679"/>
        <item x="2061"/>
        <item x="1919"/>
        <item x="1142"/>
        <item x="2404"/>
        <item x="2624"/>
        <item x="1559"/>
        <item x="1405"/>
        <item x="1505"/>
        <item x="894"/>
        <item x="234"/>
        <item x="1317"/>
        <item x="1039"/>
        <item x="322"/>
        <item x="132"/>
        <item x="2400"/>
        <item x="390"/>
        <item x="1902"/>
        <item x="248"/>
        <item x="565"/>
        <item x="1473"/>
        <item x="1586"/>
        <item x="889"/>
        <item x="508"/>
        <item x="1636"/>
        <item x="244"/>
        <item x="893"/>
        <item x="383"/>
        <item x="2602"/>
        <item x="2537"/>
        <item x="123"/>
        <item x="1397"/>
        <item x="2590"/>
        <item x="510"/>
        <item x="1999"/>
        <item x="1176"/>
        <item x="393"/>
        <item x="1013"/>
        <item x="1958"/>
        <item x="2779"/>
        <item x="2535"/>
        <item x="875"/>
        <item x="1088"/>
        <item x="846"/>
        <item x="218"/>
        <item x="1756"/>
        <item x="2338"/>
        <item x="2388"/>
        <item x="1275"/>
        <item x="2596"/>
        <item x="2567"/>
        <item x="576"/>
        <item x="122"/>
        <item x="1276"/>
        <item x="1709"/>
        <item x="2378"/>
        <item x="2727"/>
        <item x="1768"/>
        <item x="2464"/>
        <item x="2423"/>
        <item x="2070"/>
        <item x="1837"/>
        <item x="1186"/>
        <item x="289"/>
        <item x="65"/>
        <item x="721"/>
        <item x="495"/>
        <item x="2421"/>
        <item x="2117"/>
        <item x="2447"/>
        <item x="602"/>
        <item x="2729"/>
        <item x="599"/>
        <item x="2565"/>
        <item x="1287"/>
        <item x="1789"/>
        <item x="1544"/>
        <item x="391"/>
        <item x="1881"/>
        <item x="1721"/>
        <item x="2110"/>
        <item x="1210"/>
        <item x="2521"/>
        <item x="2119"/>
        <item x="1871"/>
        <item x="1389"/>
        <item x="1874"/>
        <item x="1603"/>
        <item x="2682"/>
        <item x="1257"/>
        <item x="2437"/>
        <item x="1174"/>
        <item x="261"/>
        <item x="2220"/>
        <item x="2721"/>
        <item x="482"/>
        <item x="918"/>
        <item x="384"/>
        <item x="2803"/>
        <item x="233"/>
        <item x="1211"/>
        <item x="2230"/>
        <item x="587"/>
        <item x="1459"/>
        <item x="2030"/>
        <item x="1822"/>
        <item x="530"/>
        <item x="2655"/>
        <item x="528"/>
        <item x="1946"/>
        <item x="748"/>
        <item x="2402"/>
        <item x="1514"/>
        <item x="1998"/>
        <item x="418"/>
        <item x="2744"/>
        <item x="70"/>
        <item x="2085"/>
        <item x="847"/>
        <item x="81"/>
        <item x="1606"/>
        <item x="993"/>
        <item x="2792"/>
        <item x="1277"/>
        <item x="2337"/>
        <item x="1272"/>
        <item x="2071"/>
        <item x="1947"/>
        <item x="2120"/>
        <item x="1742"/>
        <item x="1779"/>
        <item x="749"/>
        <item x="907"/>
        <item x="347"/>
        <item x="1652"/>
        <item x="809"/>
        <item x="1731"/>
        <item x="1572"/>
        <item x="2446"/>
        <item x="1873"/>
        <item x="174"/>
        <item x="249"/>
        <item x="2339"/>
        <item x="1258"/>
        <item x="1226"/>
        <item x="1826"/>
        <item x="364"/>
        <item x="1291"/>
        <item x="2389"/>
        <item x="773"/>
        <item x="459"/>
        <item x="1136"/>
        <item x="1865"/>
        <item x="1005"/>
        <item x="1476"/>
        <item x="2536"/>
        <item x="1391"/>
        <item x="1399"/>
        <item x="541"/>
        <item x="2176"/>
        <item x="28"/>
        <item x="497"/>
        <item x="516"/>
        <item x="857"/>
        <item x="2031"/>
        <item x="1292"/>
        <item x="2155"/>
        <item x="1655"/>
        <item x="2708"/>
        <item x="2350"/>
        <item x="71"/>
        <item x="143"/>
        <item x="1290"/>
        <item x="678"/>
        <item x="2370"/>
        <item x="2670"/>
        <item x="1331"/>
        <item x="2761"/>
        <item x="434"/>
        <item x="1038"/>
        <item x="1390"/>
        <item x="762"/>
        <item x="2532"/>
        <item x="2652"/>
        <item x="1792"/>
        <item x="107"/>
        <item x="2445"/>
        <item x="1614"/>
        <item x="2790"/>
        <item x="2122"/>
        <item x="2352"/>
        <item x="667"/>
        <item x="2272"/>
        <item x="1579"/>
        <item x="487"/>
        <item x="1233"/>
        <item x="2372"/>
        <item x="1931"/>
        <item x="2569"/>
        <item x="750"/>
        <item x="2223"/>
        <item x="2105"/>
        <item x="1696"/>
        <item x="1229"/>
        <item x="1847"/>
        <item x="612"/>
        <item x="1306"/>
        <item x="1918"/>
        <item x="2208"/>
        <item x="625"/>
        <item x="1"/>
        <item x="265"/>
        <item x="2495"/>
        <item x="95"/>
        <item x="72"/>
        <item x="1478"/>
        <item x="1932"/>
        <item x="2791"/>
        <item x="2793"/>
        <item x="44"/>
        <item x="764"/>
        <item x="1767"/>
        <item x="1745"/>
        <item x="1838"/>
        <item x="2735"/>
        <item x="1058"/>
        <item x="1308"/>
        <item x="2219"/>
        <item x="1913"/>
        <item x="2361"/>
        <item x="1989"/>
        <item x="349"/>
        <item x="1309"/>
        <item x="2547"/>
        <item x="1347"/>
        <item x="1256"/>
        <item x="394"/>
        <item x="1507"/>
        <item x="1030"/>
        <item x="1769"/>
        <item x="552"/>
        <item x="388"/>
        <item x="1235"/>
        <item x="2187"/>
        <item x="365"/>
        <item x="2549"/>
        <item x="2620"/>
        <item x="1592"/>
        <item x="610"/>
        <item x="919"/>
        <item x="1099"/>
        <item x="2302"/>
        <item x="1816"/>
        <item x="2351"/>
        <item x="1108"/>
        <item x="183"/>
        <item x="1949"/>
        <item x="30"/>
        <item x="1637"/>
        <item x="2026"/>
        <item x="2595"/>
        <item x="2548"/>
        <item x="2653"/>
        <item x="2504"/>
        <item x="937"/>
        <item x="1664"/>
        <item x="2139"/>
        <item x="1107"/>
        <item x="2211"/>
        <item x="2473"/>
        <item x="1414"/>
        <item x="1926"/>
        <item x="402"/>
        <item x="626"/>
        <item x="1400"/>
        <item x="553"/>
        <item x="972"/>
        <item x="644"/>
        <item x="1615"/>
        <item x="2522"/>
        <item x="1243"/>
        <item x="1427"/>
        <item x="2534"/>
        <item x="1555"/>
        <item x="1475"/>
        <item x="57"/>
        <item x="909"/>
        <item x="15"/>
        <item x="2391"/>
        <item x="818"/>
        <item x="1744"/>
        <item x="1303"/>
        <item x="1987"/>
        <item x="1682"/>
        <item x="1164"/>
        <item x="1903"/>
        <item x="376"/>
        <item x="251"/>
        <item x="2390"/>
        <item x="321"/>
        <item x="751"/>
        <item x="554"/>
        <item x="1921"/>
        <item x="2625"/>
        <item x="1426"/>
        <item x="1803"/>
        <item x="2313"/>
        <item x="27"/>
        <item x="29"/>
        <item x="486"/>
        <item x="1113"/>
        <item x="789"/>
        <item x="1263"/>
        <item x="719"/>
        <item x="2095"/>
        <item x="1049"/>
        <item x="327"/>
        <item x="2144"/>
        <item x="2050"/>
        <item x="1872"/>
        <item x="1988"/>
        <item x="1575"/>
        <item x="2508"/>
        <item x="16"/>
        <item x="2303"/>
        <item x="896"/>
        <item x="386"/>
        <item x="1904"/>
        <item x="938"/>
        <item x="542"/>
        <item x="1527"/>
        <item x="813"/>
        <item x="1772"/>
        <item x="2403"/>
        <item x="2108"/>
        <item x="1465"/>
        <item x="1062"/>
        <item x="2695"/>
        <item x="2463"/>
        <item x="2293"/>
        <item x="270"/>
        <item x="398"/>
        <item x="1022"/>
        <item x="653"/>
        <item x="1732"/>
        <item x="1059"/>
        <item x="2014"/>
        <item x="1887"/>
        <item x="2305"/>
        <item x="1893"/>
        <item x="500"/>
        <item x="693"/>
        <item x="2568"/>
        <item x="571"/>
        <item x="2703"/>
        <item x="1437"/>
        <item x="1197"/>
        <item x="705"/>
        <item x="2207"/>
        <item x="959"/>
        <item x="668"/>
        <item x="1227"/>
        <item x="2147"/>
        <item x="481"/>
        <item x="563"/>
        <item x="1325"/>
        <item x="2618"/>
        <item x="2414"/>
        <item x="485"/>
        <item x="1015"/>
        <item x="2706"/>
        <item x="2408"/>
        <item x="1479"/>
        <item x="2354"/>
        <item x="2065"/>
        <item x="2505"/>
        <item x="287"/>
        <item x="300"/>
        <item x="1515"/>
        <item x="1172"/>
        <item x="992"/>
        <item x="588"/>
        <item x="422"/>
        <item x="282"/>
        <item x="2442"/>
        <item x="1580"/>
        <item x="2123"/>
        <item x="316"/>
        <item x="1318"/>
        <item x="312"/>
        <item x="1701"/>
        <item x="1922"/>
        <item x="1855"/>
        <item x="472"/>
        <item x="911"/>
        <item x="703"/>
        <item x="2760"/>
        <item x="786"/>
        <item x="339"/>
        <item x="1242"/>
        <item x="367"/>
        <item x="1710"/>
        <item x="2807"/>
        <item x="1782"/>
        <item x="1396"/>
        <item x="1494"/>
        <item x="787"/>
        <item x="958"/>
        <item x="1699"/>
        <item x="1212"/>
        <item x="2294"/>
        <item x="153"/>
        <item x="759"/>
        <item x="658"/>
        <item x="589"/>
        <item x="175"/>
        <item x="85"/>
        <item x="1560"/>
        <item x="268"/>
        <item x="995"/>
        <item x="1529"/>
        <item x="1630"/>
        <item x="1454"/>
        <item x="1824"/>
        <item x="1806"/>
        <item x="1686"/>
        <item x="2513"/>
        <item x="97"/>
        <item x="1711"/>
        <item x="2387"/>
        <item x="737"/>
        <item x="2593"/>
        <item x="1402"/>
        <item x="1330"/>
        <item x="2083"/>
        <item x="1587"/>
        <item x="19"/>
        <item x="2109"/>
        <item x="2499"/>
        <item x="2251"/>
        <item x="2189"/>
        <item x="880"/>
        <item x="2484"/>
        <item x="87"/>
        <item x="2304"/>
        <item x="471"/>
        <item x="2131"/>
        <item x="1666"/>
        <item x="679"/>
        <item x="501"/>
        <item x="987"/>
        <item x="1552"/>
        <item x="785"/>
        <item x="301"/>
        <item x="1795"/>
        <item x="922"/>
        <item x="1161"/>
        <item x="450"/>
        <item x="511"/>
        <item x="2780"/>
        <item x="2723"/>
        <item x="1401"/>
        <item x="299"/>
        <item x="986"/>
        <item x="1280"/>
        <item x="2485"/>
        <item x="985"/>
        <item x="1124"/>
        <item x="868"/>
        <item x="844"/>
        <item x="1640"/>
        <item x="1418"/>
        <item x="2496"/>
        <item x="1100"/>
        <item x="1305"/>
        <item x="1348"/>
        <item x="2794"/>
        <item x="1757"/>
        <item x="562"/>
        <item x="2185"/>
        <item x="1823"/>
        <item x="2663"/>
        <item x="1346"/>
        <item x="2494"/>
        <item x="732"/>
        <item x="1983"/>
        <item x="2161"/>
        <item x="2715"/>
        <item x="976"/>
        <item x="2795"/>
        <item x="1561"/>
        <item x="790"/>
        <item x="1862"/>
        <item x="970"/>
        <item x="1200"/>
        <item x="1374"/>
        <item x="238"/>
        <item x="746"/>
        <item x="1642"/>
        <item x="2654"/>
        <item x="217"/>
        <item x="614"/>
        <item x="129"/>
        <item x="350"/>
        <item x="1936"/>
        <item x="1678"/>
        <item x="2454"/>
        <item x="2226"/>
        <item x="370"/>
        <item x="836"/>
        <item x="671"/>
        <item x="1260"/>
        <item x="2052"/>
        <item x="1294"/>
        <item x="33"/>
        <item x="1943"/>
        <item x="2630"/>
        <item x="2291"/>
        <item x="2804"/>
        <item x="429"/>
        <item x="2483"/>
        <item x="2018"/>
        <item x="2312"/>
        <item x="876"/>
        <item x="1293"/>
        <item x="432"/>
        <item x="1116"/>
        <item x="627"/>
        <item x="1957"/>
        <item x="2015"/>
        <item x="1627"/>
        <item x="502"/>
        <item x="2724"/>
        <item x="2165"/>
        <item x="1639"/>
        <item x="1316"/>
        <item x="1556"/>
        <item x="252"/>
        <item x="186"/>
        <item x="1261"/>
        <item x="1246"/>
        <item x="669"/>
        <item x="1616"/>
        <item x="1920"/>
        <item x="601"/>
        <item x="1157"/>
        <item x="1811"/>
        <item x="1413"/>
        <item x="1997"/>
        <item x="2598"/>
        <item x="647"/>
        <item x="221"/>
        <item x="2734"/>
        <item x="2265"/>
        <item x="2138"/>
        <item x="2627"/>
        <item x="2380"/>
        <item x="561"/>
        <item x="2497"/>
        <item x="529"/>
        <item x="1264"/>
        <item x="2227"/>
        <item x="1545"/>
        <item x="2043"/>
        <item x="1111"/>
        <item x="596"/>
        <item x="1311"/>
        <item x="1247"/>
        <item x="1875"/>
        <item x="2582"/>
        <item x="2077"/>
        <item x="729"/>
        <item x="941"/>
        <item x="2205"/>
        <item x="930"/>
        <item x="1160"/>
        <item x="428"/>
        <item x="1889"/>
        <item x="460"/>
        <item x="1908"/>
        <item x="1827"/>
        <item x="1531"/>
        <item x="628"/>
        <item x="2688"/>
        <item x="1747"/>
        <item x="2253"/>
        <item x="323"/>
        <item x="2228"/>
        <item x="1075"/>
        <item x="2767"/>
        <item x="1320"/>
        <item x="1977"/>
        <item x="622"/>
        <item x="220"/>
        <item x="1138"/>
        <item x="1112"/>
        <item x="96"/>
        <item x="313"/>
        <item x="2636"/>
        <item x="978"/>
        <item x="694"/>
        <item x="1162"/>
        <item x="1090"/>
        <item x="649"/>
        <item x="1072"/>
        <item x="2254"/>
        <item x="1520"/>
        <item x="845"/>
        <item x="103"/>
        <item x="1353"/>
        <item x="2195"/>
        <item x="2685"/>
        <item x="2748"/>
        <item x="2235"/>
        <item x="2539"/>
        <item x="774"/>
        <item x="1484"/>
        <item x="1818"/>
        <item x="2355"/>
        <item x="1278"/>
        <item x="2451"/>
        <item x="2778"/>
        <item x="2371"/>
        <item x="1950"/>
        <item x="2267"/>
        <item x="928"/>
        <item x="2787"/>
        <item x="2747"/>
        <item x="929"/>
        <item x="1033"/>
        <item x="531"/>
        <item x="631"/>
        <item x="362"/>
        <item x="2558"/>
        <item x="1045"/>
        <item x="1961"/>
        <item x="2428"/>
        <item x="1730"/>
        <item x="1691"/>
        <item x="337"/>
        <item x="648"/>
        <item x="1984"/>
        <item x="1923"/>
        <item x="1380"/>
        <item x="1184"/>
        <item x="2177"/>
        <item x="1551"/>
        <item x="2775"/>
        <item x="1345"/>
        <item x="2397"/>
        <item x="800"/>
        <item x="453"/>
        <item x="2453"/>
        <item x="2008"/>
        <item x="2491"/>
        <item x="766"/>
        <item x="848"/>
        <item x="869"/>
        <item x="646"/>
        <item x="709"/>
        <item x="971"/>
        <item x="758"/>
        <item x="363"/>
        <item x="908"/>
        <item x="1708"/>
        <item x="2573"/>
        <item x="1599"/>
        <item x="2592"/>
        <item x="2638"/>
        <item x="1497"/>
        <item x="2121"/>
        <item x="2564"/>
        <item x="239"/>
        <item x="883"/>
        <item x="1199"/>
        <item x="2270"/>
        <item x="1337"/>
        <item x="1492"/>
        <item x="1741"/>
        <item x="527"/>
        <item x="1933"/>
        <item x="56"/>
        <item x="1915"/>
        <item x="2429"/>
        <item x="2656"/>
        <item x="1007"/>
        <item x="314"/>
        <item x="736"/>
        <item x="2608"/>
        <item x="1206"/>
        <item x="2461"/>
        <item x="2651"/>
        <item x="2034"/>
        <item x="2575"/>
        <item x="2693"/>
        <item x="421"/>
        <item x="400"/>
        <item x="831"/>
        <item x="185"/>
        <item x="2158"/>
        <item x="283"/>
        <item x="1879"/>
        <item x="266"/>
        <item x="1600"/>
        <item x="585"/>
        <item x="544"/>
        <item x="177"/>
        <item x="2201"/>
        <item x="2206"/>
        <item x="2318"/>
        <item x="100"/>
        <item x="2554"/>
        <item x="2583"/>
        <item x="2557"/>
        <item x="866"/>
        <item x="366"/>
        <item x="616"/>
        <item x="1667"/>
        <item x="396"/>
        <item x="840"/>
        <item x="1214"/>
        <item x="1023"/>
        <item x="2019"/>
        <item x="1017"/>
        <item x="2210"/>
        <item x="178"/>
        <item x="2520"/>
        <item x="1134"/>
        <item x="2642"/>
        <item x="1785"/>
        <item x="1906"/>
        <item x="555"/>
        <item x="1565"/>
        <item x="2512"/>
        <item x="2674"/>
        <item x="686"/>
        <item x="1224"/>
        <item x="54"/>
        <item x="1395"/>
        <item x="792"/>
        <item x="1805"/>
        <item x="1360"/>
        <item x="246"/>
        <item x="1094"/>
        <item x="564"/>
        <item x="913"/>
        <item x="935"/>
        <item x="2153"/>
        <item x="1496"/>
        <item x="760"/>
        <item x="1990"/>
        <item x="1702"/>
        <item x="6"/>
        <item x="2012"/>
        <item x="1329"/>
        <item x="2255"/>
        <item x="2382"/>
        <item x="1833"/>
        <item x="783"/>
        <item x="1231"/>
        <item x="825"/>
        <item x="1540"/>
        <item x="1057"/>
        <item x="1453"/>
        <item x="2782"/>
        <item x="2601"/>
        <item x="2443"/>
        <item x="567"/>
        <item x="1125"/>
        <item x="1783"/>
        <item x="2197"/>
        <item x="109"/>
        <item x="1205"/>
        <item x="1632"/>
        <item x="2051"/>
        <item x="509"/>
        <item x="643"/>
        <item x="2649"/>
        <item x="1801"/>
        <item x="1175"/>
        <item x="547"/>
        <item x="224"/>
        <item x="130"/>
        <item x="629"/>
        <item x="2507"/>
        <item x="2450"/>
        <item x="2056"/>
        <item x="1145"/>
        <item x="41"/>
        <item x="140"/>
        <item x="2632"/>
        <item x="2268"/>
        <item x="619"/>
        <item x="632"/>
        <item x="822"/>
        <item x="1910"/>
        <item x="879"/>
        <item x="680"/>
        <item x="910"/>
        <item x="166"/>
        <item x="1404"/>
        <item x="947"/>
        <item x="954"/>
        <item x="311"/>
        <item x="2556"/>
        <item x="1501"/>
        <item x="1791"/>
        <item x="236"/>
        <item x="1461"/>
        <item x="1216"/>
        <item x="2741"/>
        <item x="1168"/>
        <item x="1749"/>
        <item x="603"/>
        <item x="2712"/>
        <item x="1051"/>
        <item x="1945"/>
        <item x="489"/>
        <item x="2240"/>
        <item x="1302"/>
        <item x="111"/>
        <item x="1854"/>
        <item x="2233"/>
        <item x="1468"/>
        <item x="2531"/>
        <item x="1591"/>
        <item x="1654"/>
        <item x="2243"/>
        <item x="67"/>
        <item x="1191"/>
        <item x="2347"/>
        <item x="1799"/>
        <item x="861"/>
        <item x="776"/>
        <item x="2493"/>
        <item x="1885"/>
        <item x="720"/>
        <item x="165"/>
        <item x="1009"/>
        <item x="1321"/>
        <item x="2612"/>
        <item x="158"/>
        <item x="2039"/>
        <item x="2319"/>
        <item x="184"/>
        <item x="2705"/>
        <item x="835"/>
        <item x="1948"/>
        <item x="229"/>
        <item x="2075"/>
        <item x="203"/>
        <item x="969"/>
        <item x="2092"/>
        <item x="782"/>
        <item x="1037"/>
        <item x="272"/>
        <item x="2289"/>
        <item x="1804"/>
        <item x="881"/>
        <item x="2102"/>
        <item x="1044"/>
        <item x="420"/>
        <item x="2133"/>
        <item x="2673"/>
        <item x="1230"/>
        <item x="1598"/>
        <item x="2738"/>
        <item x="2439"/>
        <item x="815"/>
        <item x="1942"/>
        <item x="1620"/>
        <item x="40"/>
        <item x="1773"/>
        <item x="2424"/>
        <item x="412"/>
        <item x="1382"/>
        <item x="247"/>
        <item x="2393"/>
        <item x="700"/>
        <item x="1628"/>
        <item x="1285"/>
        <item x="1228"/>
        <item x="2384"/>
        <item x="1298"/>
        <item x="451"/>
        <item x="385"/>
        <item x="2307"/>
        <item x="324"/>
        <item x="2125"/>
        <item x="1403"/>
        <item x="1571"/>
        <item x="584"/>
        <item x="2362"/>
        <item x="348"/>
        <item x="2475"/>
        <item x="1182"/>
        <item x="474"/>
        <item x="66"/>
        <item x="2768"/>
        <item x="148"/>
        <item x="1127"/>
        <item x="1416"/>
        <item x="207"/>
        <item x="1852"/>
        <item x="155"/>
        <item x="2704"/>
        <item x="1065"/>
        <item x="651"/>
        <item x="157"/>
        <item x="550"/>
        <item x="1237"/>
        <item x="2502"/>
        <item x="583"/>
        <item x="2438"/>
        <item x="1429"/>
        <item x="2613"/>
        <item x="532"/>
        <item x="2621"/>
        <item x="216"/>
        <item x="1677"/>
        <item x="338"/>
        <item x="1335"/>
        <item x="1517"/>
        <item x="756"/>
        <item x="2295"/>
        <item x="1846"/>
        <item x="473"/>
        <item x="2754"/>
        <item x="369"/>
        <item x="1053"/>
        <item x="1367"/>
        <item x="2433"/>
        <item x="2545"/>
        <item x="655"/>
        <item x="1912"/>
        <item x="1526"/>
        <item x="1845"/>
        <item x="1070"/>
        <item x="351"/>
        <item x="1774"/>
        <item x="1379"/>
        <item x="698"/>
        <item x="3"/>
        <item x="949"/>
        <item x="1043"/>
        <item x="2101"/>
        <item x="2770"/>
        <item x="45"/>
        <item x="1460"/>
        <item x="1340"/>
        <item x="1656"/>
        <item x="1458"/>
        <item x="2081"/>
        <item x="307"/>
        <item x="110"/>
        <item x="837"/>
        <item x="1810"/>
        <item x="2746"/>
        <item x="452"/>
        <item x="727"/>
        <item x="1975"/>
        <item x="600"/>
        <item x="623"/>
        <item x="2533"/>
        <item x="806"/>
        <item x="1137"/>
        <item x="752"/>
        <item x="1046"/>
        <item x="546"/>
        <item x="1786"/>
        <item x="2348"/>
        <item x="1704"/>
        <item x="378"/>
        <item x="594"/>
        <item x="1976"/>
        <item x="1853"/>
        <item x="1451"/>
        <item x="271"/>
        <item x="2002"/>
        <item x="744"/>
        <item x="1381"/>
        <item x="334"/>
        <item x="1010"/>
        <item x="439"/>
        <item x="137"/>
        <item x="1485"/>
        <item x="50"/>
        <item x="2466"/>
        <item x="147"/>
        <item x="860"/>
        <item x="226"/>
        <item x="1366"/>
        <item x="731"/>
        <item x="2063"/>
        <item x="1967"/>
        <item x="2587"/>
        <item x="1131"/>
        <item x="415"/>
        <item x="755"/>
        <item x="778"/>
        <item x="2331"/>
        <item x="1911"/>
        <item x="1074"/>
        <item x="2263"/>
        <item x="2275"/>
        <item x="2694"/>
        <item x="1332"/>
        <item x="816"/>
        <item x="2021"/>
        <item x="2405"/>
        <item x="2137"/>
        <item x="2588"/>
        <item x="2132"/>
        <item x="2222"/>
        <item x="114"/>
        <item x="1219"/>
        <item x="480"/>
        <item x="1434"/>
        <item x="2033"/>
        <item x="64"/>
        <item x="605"/>
        <item x="2003"/>
        <item x="2796"/>
        <item x="465"/>
        <item x="76"/>
        <item x="2696"/>
        <item x="2346"/>
        <item x="1480"/>
        <item x="1714"/>
        <item x="1964"/>
        <item x="867"/>
        <item x="235"/>
        <item x="1857"/>
        <item x="2551"/>
        <item x="499"/>
        <item x="1341"/>
        <item x="438"/>
        <item x="2509"/>
        <item x="2298"/>
        <item x="1553"/>
        <item x="1971"/>
        <item x="1608"/>
        <item x="381"/>
        <item x="1163"/>
        <item x="980"/>
        <item x="897"/>
        <item x="190"/>
        <item x="948"/>
        <item x="2191"/>
        <item x="232"/>
        <item x="708"/>
        <item x="545"/>
        <item x="695"/>
        <item x="2239"/>
        <item x="1201"/>
        <item x="921"/>
        <item x="2064"/>
        <item x="2373"/>
        <item x="2196"/>
        <item x="1546"/>
        <item x="408"/>
        <item x="1662"/>
        <item x="514"/>
        <item x="734"/>
        <item x="2460"/>
        <item x="1342"/>
        <item x="1068"/>
        <item x="2783"/>
        <item x="592"/>
        <item x="2259"/>
        <item x="2112"/>
        <item x="2750"/>
        <item x="981"/>
        <item x="1236"/>
        <item x="1619"/>
        <item x="1611"/>
        <item x="1897"/>
        <item x="2527"/>
        <item x="2661"/>
        <item x="1788"/>
        <item x="1223"/>
        <item x="666"/>
        <item x="2127"/>
        <item x="780"/>
        <item x="358"/>
        <item x="478"/>
        <item x="1672"/>
        <item x="2224"/>
        <item x="413"/>
        <item x="1464"/>
        <item x="1196"/>
        <item x="1040"/>
        <item x="1953"/>
        <item x="1644"/>
        <item x="1193"/>
        <item x="163"/>
        <item x="409"/>
        <item x="263"/>
        <item x="1490"/>
        <item x="253"/>
        <item x="604"/>
        <item x="2076"/>
        <item x="1155"/>
        <item x="850"/>
        <item x="1700"/>
        <item x="1147"/>
        <item x="1440"/>
        <item x="2193"/>
        <item x="120"/>
        <item x="2326"/>
        <item x="1972"/>
        <item x="1536"/>
        <item x="1895"/>
        <item x="1394"/>
        <item x="573"/>
        <item x="793"/>
        <item x="371"/>
        <item x="1869"/>
        <item x="1798"/>
        <item x="2152"/>
        <item x="10"/>
        <item x="2321"/>
        <item x="1439"/>
        <item x="2049"/>
        <item x="2452"/>
        <item x="805"/>
        <item x="2762"/>
        <item x="1122"/>
        <item x="1067"/>
        <item x="294"/>
        <item x="798"/>
        <item x="2310"/>
        <item x="1388"/>
        <item x="1543"/>
        <item x="2364"/>
        <item x="36"/>
        <item x="2766"/>
        <item x="2498"/>
        <item x="2644"/>
        <item x="446"/>
        <item x="1924"/>
        <item x="440"/>
        <item x="2488"/>
        <item x="22"/>
        <item x="1562"/>
        <item x="2029"/>
        <item x="2422"/>
        <item x="882"/>
        <item x="964"/>
        <item x="2142"/>
        <item x="998"/>
        <item x="1334"/>
        <item x="1288"/>
        <item x="887"/>
        <item x="2124"/>
        <item x="1813"/>
        <item x="2465"/>
        <item x="2419"/>
        <item x="963"/>
        <item x="932"/>
        <item x="1938"/>
        <item x="2181"/>
        <item x="1433"/>
        <item x="241"/>
        <item x="1217"/>
        <item x="1955"/>
        <item x="1850"/>
        <item x="2129"/>
        <item x="2190"/>
        <item x="2367"/>
        <item x="2308"/>
        <item x="2168"/>
        <item x="346"/>
        <item x="1982"/>
        <item x="2687"/>
        <item x="2672"/>
        <item x="2742"/>
        <item x="427"/>
        <item x="1178"/>
        <item x="498"/>
        <item x="1183"/>
        <item x="2719"/>
        <item x="424"/>
        <item x="2040"/>
        <item x="581"/>
        <item x="188"/>
        <item x="2080"/>
        <item x="2701"/>
        <item x="2559"/>
        <item x="1876"/>
        <item x="1410"/>
        <item x="710"/>
        <item x="1618"/>
        <item x="395"/>
        <item x="839"/>
        <item x="1295"/>
        <item x="105"/>
        <item x="1589"/>
        <item x="761"/>
        <item x="1431"/>
        <item x="973"/>
        <item x="2784"/>
        <item x="2103"/>
        <item x="2553"/>
        <item x="556"/>
        <item x="1668"/>
        <item x="2542"/>
        <item x="923"/>
        <item x="2699"/>
        <item x="1297"/>
        <item x="255"/>
        <item x="533"/>
        <item x="654"/>
        <item x="2578"/>
        <item x="777"/>
        <item x="99"/>
        <item x="735"/>
        <item x="1417"/>
        <item x="1951"/>
        <item x="873"/>
        <item x="448"/>
        <item x="791"/>
        <item x="2022"/>
        <item x="34"/>
        <item x="1631"/>
        <item x="2183"/>
        <item x="662"/>
        <item x="1271"/>
        <item x="2245"/>
        <item x="43"/>
        <item x="74"/>
        <item x="914"/>
        <item x="2314"/>
        <item x="1851"/>
        <item x="93"/>
        <item x="2474"/>
        <item x="2469"/>
        <item x="58"/>
        <item x="912"/>
        <item x="2677"/>
        <item x="946"/>
        <item x="1251"/>
        <item x="989"/>
        <item x="463"/>
        <item x="1840"/>
        <item x="578"/>
        <item x="1279"/>
        <item x="319"/>
        <item x="904"/>
        <item x="2162"/>
        <item x="2315"/>
        <item x="1894"/>
        <item x="1284"/>
        <item x="2732"/>
        <item x="931"/>
        <item x="2332"/>
        <item x="1986"/>
        <item x="1817"/>
        <item x="821"/>
        <item x="1018"/>
        <item x="1563"/>
        <item x="1286"/>
        <item x="745"/>
        <item x="2720"/>
        <item x="1369"/>
        <item x="2055"/>
        <item x="1820"/>
        <item x="35"/>
        <item x="1995"/>
        <item x="523"/>
        <item x="1194"/>
        <item x="2042"/>
        <item x="2755"/>
        <item x="423"/>
        <item x="2776"/>
        <item x="2398"/>
        <item x="212"/>
        <item x="2714"/>
        <item x="146"/>
        <item x="2316"/>
        <item x="1703"/>
        <item x="2057"/>
        <item x="308"/>
        <item x="403"/>
        <item x="1641"/>
        <item x="1188"/>
        <item x="80"/>
        <item x="2246"/>
        <item x="2234"/>
        <item x="1249"/>
        <item x="2082"/>
        <item x="2506"/>
        <item x="431"/>
        <item x="1753"/>
        <item x="1647"/>
        <item x="713"/>
        <item x="59"/>
        <item x="2053"/>
        <item x="86"/>
        <item x="231"/>
        <item x="1888"/>
        <item x="1052"/>
        <item x="1383"/>
        <item x="898"/>
        <item x="2707"/>
        <item x="817"/>
        <item x="1645"/>
        <item x="335"/>
        <item x="1843"/>
        <item x="2600"/>
        <item x="2503"/>
        <item x="387"/>
        <item x="1650"/>
        <item x="1091"/>
        <item x="2530"/>
        <item x="1725"/>
        <item x="661"/>
        <item x="407"/>
        <item x="535"/>
        <item x="1558"/>
        <item x="1338"/>
        <item x="1513"/>
        <item x="1267"/>
        <item x="1739"/>
        <item x="1296"/>
        <item x="1139"/>
        <item x="2037"/>
        <item x="2116"/>
        <item x="1056"/>
        <item x="934"/>
        <item x="543"/>
        <item x="1978"/>
        <item x="1692"/>
        <item x="219"/>
        <item x="1689"/>
        <item x="290"/>
        <item x="1198"/>
        <item x="2479"/>
        <item x="2058"/>
        <item x="2633"/>
        <item x="503"/>
        <item x="2366"/>
        <item x="63"/>
        <item x="167"/>
        <item x="2543"/>
        <item x="682"/>
        <item x="1299"/>
        <item x="943"/>
        <item x="2686"/>
        <item x="642"/>
        <item x="823"/>
        <item x="2566"/>
        <item x="685"/>
        <item x="2249"/>
        <item x="125"/>
        <item x="942"/>
        <item x="2333"/>
        <item x="1469"/>
        <item x="496"/>
        <item x="135"/>
        <item x="1151"/>
        <item x="2555"/>
        <item x="862"/>
        <item x="1521"/>
        <item x="2236"/>
        <item x="2156"/>
        <item x="405"/>
        <item x="670"/>
        <item x="291"/>
        <item x="77"/>
        <item x="2248"/>
        <item x="855"/>
        <item x="1542"/>
        <item x="1928"/>
        <item x="905"/>
        <item x="2733"/>
        <item x="2669"/>
        <item x="1535"/>
        <item x="142"/>
        <item x="318"/>
        <item x="635"/>
        <item x="891"/>
        <item x="1954"/>
        <item x="397"/>
        <item x="179"/>
        <item x="2278"/>
        <item x="2217"/>
        <item x="118"/>
        <item x="2411"/>
        <item x="1209"/>
        <item x="2420"/>
        <item x="61"/>
        <item x="2774"/>
        <item x="2045"/>
        <item x="162"/>
        <item x="2242"/>
        <item x="915"/>
        <item x="454"/>
        <item x="1831"/>
        <item x="115"/>
        <item x="2089"/>
        <item x="1355"/>
        <item x="1597"/>
        <item x="2006"/>
        <item x="506"/>
        <item x="0"/>
        <item x="1584"/>
        <item x="1003"/>
        <item x="223"/>
        <item x="1718"/>
        <item x="1012"/>
        <item x="1941"/>
        <item x="979"/>
        <item x="1969"/>
        <item x="1412"/>
        <item x="2667"/>
        <item x="1797"/>
        <item x="2363"/>
        <item x="1539"/>
        <item x="1498"/>
        <item x="1289"/>
        <item x="513"/>
        <item x="663"/>
        <item x="2250"/>
        <item x="863"/>
        <item x="740"/>
        <item x="2198"/>
        <item x="1352"/>
        <item x="1449"/>
        <item x="1220"/>
        <item x="144"/>
        <item x="2480"/>
        <item x="1503"/>
        <item x="1651"/>
        <item x="193"/>
        <item x="715"/>
        <item x="2365"/>
        <item x="1061"/>
        <item x="2099"/>
        <item x="1047"/>
        <item x="259"/>
        <item x="1750"/>
        <item x="180"/>
        <item x="278"/>
        <item x="1135"/>
        <item x="2594"/>
        <item x="1266"/>
        <item x="382"/>
        <item x="2540"/>
        <item x="160"/>
        <item x="772"/>
        <item x="2800"/>
        <item x="2340"/>
        <item x="1764"/>
        <item x="1612"/>
        <item x="966"/>
        <item x="1532"/>
        <item x="2238"/>
        <item x="2730"/>
        <item x="1530"/>
        <item x="2805"/>
        <item x="704"/>
        <item x="1956"/>
        <item x="1471"/>
        <item x="2426"/>
        <item x="899"/>
        <item x="225"/>
        <item x="1863"/>
        <item x="1860"/>
        <item x="620"/>
        <item x="242"/>
        <item x="1812"/>
        <item x="2280"/>
        <item x="691"/>
        <item x="1344"/>
        <item x="2658"/>
        <item x="1372"/>
        <item x="2160"/>
        <item x="1167"/>
        <item x="1916"/>
        <item x="2277"/>
        <item x="1962"/>
        <item x="559"/>
        <item x="1373"/>
        <item x="560"/>
        <item x="2141"/>
        <item x="2434"/>
        <item x="1333"/>
        <item x="968"/>
        <item x="2276"/>
        <item x="73"/>
        <item x="1082"/>
        <item x="1095"/>
        <item x="892"/>
        <item x="98"/>
        <item x="92"/>
        <item x="342"/>
        <item x="2769"/>
        <item x="2572"/>
        <item x="2416"/>
        <item x="1428"/>
        <item x="901"/>
        <item x="2614"/>
        <item x="2468"/>
        <item x="617"/>
        <item x="1238"/>
        <item x="2283"/>
        <item x="2425"/>
        <item x="202"/>
        <item x="1807"/>
        <item x="1166"/>
        <item x="1842"/>
        <item x="295"/>
        <item x="637"/>
        <item x="279"/>
        <item x="2324"/>
        <item x="2702"/>
        <item x="1265"/>
        <item x="1032"/>
        <item x="1466"/>
        <item x="2597"/>
        <item x="2180"/>
        <item x="2538"/>
        <item x="2166"/>
        <item x="796"/>
        <item x="2417"/>
        <item x="633"/>
        <item x="504"/>
        <item x="718"/>
        <item x="1158"/>
        <item x="1738"/>
        <item x="1844"/>
        <item x="1499"/>
        <item x="164"/>
        <item x="2603"/>
        <item x="2501"/>
        <item x="1624"/>
        <item x="597"/>
        <item x="768"/>
        <item x="1834"/>
        <item x="1746"/>
        <item x="2020"/>
        <item x="1102"/>
        <item x="48"/>
        <item x="2126"/>
        <item x="1268"/>
        <item x="2648"/>
        <item x="819"/>
        <item x="343"/>
        <item x="1581"/>
        <item x="1326"/>
        <item x="518"/>
        <item x="2500"/>
        <item x="1351"/>
        <item x="676"/>
        <item x="330"/>
        <item x="1343"/>
        <item x="1421"/>
        <item x="138"/>
        <item x="717"/>
        <item x="1436"/>
        <item x="2090"/>
        <item x="2342"/>
        <item x="1728"/>
        <item x="999"/>
        <item x="2698"/>
        <item x="17"/>
        <item x="211"/>
        <item x="2356"/>
        <item x="874"/>
        <item x="1610"/>
        <item x="2607"/>
        <item x="1508"/>
        <item x="548"/>
        <item x="1270"/>
        <item x="2036"/>
        <item x="650"/>
        <item x="2200"/>
        <item x="741"/>
        <item x="1041"/>
        <item x="2184"/>
        <item x="280"/>
        <item x="53"/>
        <item x="714"/>
        <item x="297"/>
        <item x="292"/>
        <item x="2213"/>
        <item x="1735"/>
        <item x="213"/>
        <item x="524"/>
        <item x="1511"/>
        <item x="1328"/>
        <item x="91"/>
        <item x="799"/>
        <item x="1354"/>
        <item x="127"/>
        <item x="2456"/>
        <item x="1626"/>
        <item x="331"/>
        <item x="2290"/>
        <item x="2643"/>
        <item x="953"/>
        <item x="2584"/>
        <item x="1518"/>
        <item x="2343"/>
        <item x="2244"/>
        <item x="227"/>
        <item x="173"/>
        <item x="638"/>
        <item x="315"/>
        <item x="1729"/>
        <item x="944"/>
        <item x="2650"/>
        <item x="355"/>
        <item x="521"/>
        <item x="877"/>
        <item x="47"/>
        <item x="1487"/>
        <item x="1375"/>
        <item x="1547"/>
        <item x="1384"/>
        <item x="1254"/>
        <item x="1870"/>
        <item x="136"/>
        <item x="2150"/>
        <item x="1781"/>
        <item x="2692"/>
        <item x="1578"/>
        <item x="1115"/>
        <item x="2589"/>
        <item x="797"/>
        <item x="2765"/>
        <item x="1940"/>
        <item x="696"/>
        <item x="230"/>
        <item x="406"/>
        <item x="2111"/>
        <item x="990"/>
        <item x="730"/>
        <item x="2690"/>
        <item x="254"/>
        <item x="1300"/>
        <item x="2256"/>
        <item x="568"/>
        <item x="2179"/>
        <item x="1240"/>
        <item x="2093"/>
        <item x="1877"/>
        <item x="2731"/>
        <item x="590"/>
        <item x="1084"/>
        <item x="1727"/>
        <item x="1444"/>
        <item x="1486"/>
        <item x="2683"/>
        <item x="458"/>
        <item x="1557"/>
        <item x="1671"/>
        <item x="739"/>
        <item x="441"/>
        <item x="757"/>
        <item x="1422"/>
        <item x="2406"/>
        <item x="1930"/>
        <item x="1208"/>
        <item x="2657"/>
        <item x="2199"/>
        <item x="2718"/>
        <item x="1076"/>
        <item x="1537"/>
        <item x="1020"/>
        <item x="779"/>
        <item x="12"/>
        <item x="1734"/>
        <item x="149"/>
        <item x="2135"/>
        <item x="1365"/>
        <item x="2529"/>
        <item x="156"/>
        <item x="945"/>
        <item x="2580"/>
        <item x="579"/>
        <item x="88"/>
        <item x="75"/>
        <item x="1716"/>
        <item x="621"/>
        <item x="808"/>
        <item x="1787"/>
        <item x="461"/>
        <item x="344"/>
        <item x="1541"/>
        <item x="1025"/>
        <item x="2169"/>
        <item x="2145"/>
        <item x="2394"/>
        <item x="1602"/>
        <item x="525"/>
        <item x="2066"/>
        <item x="1189"/>
        <item x="2743"/>
        <item x="2054"/>
        <item x="2027"/>
        <item x="2486"/>
        <item x="2407"/>
        <item x="1570"/>
        <item x="305"/>
        <item x="2722"/>
        <item x="801"/>
        <item x="38"/>
        <item x="491"/>
        <item x="2435"/>
        <item x="2167"/>
        <item x="2713"/>
        <item x="222"/>
        <item x="2357"/>
        <item x="807"/>
        <item x="1841"/>
        <item x="1717"/>
        <item x="37"/>
        <item x="754"/>
        <item x="2586"/>
        <item x="716"/>
        <item x="1129"/>
        <item x="2409"/>
        <item x="2300"/>
        <item x="1120"/>
        <item x="2395"/>
        <item x="1993"/>
        <item x="260"/>
        <item x="2182"/>
        <item x="2046"/>
        <item x="2074"/>
        <item x="90"/>
        <item x="871"/>
        <item x="1447"/>
        <item x="210"/>
        <item x="476"/>
        <item x="582"/>
        <item x="2212"/>
        <item x="997"/>
        <item x="1119"/>
        <item x="2606"/>
        <item x="2797"/>
        <item x="262"/>
        <item x="1609"/>
        <item x="1502"/>
        <item x="24"/>
        <item x="2459"/>
        <item x="2478"/>
        <item x="1808"/>
        <item x="974"/>
        <item x="1169"/>
        <item x="1435"/>
        <item x="1262"/>
        <item x="794"/>
        <item x="512"/>
        <item x="952"/>
        <item x="916"/>
        <item x="1992"/>
        <item x="1896"/>
        <item x="2605"/>
        <item x="2330"/>
        <item x="192"/>
        <item x="1715"/>
        <item x="1443"/>
        <item x="951"/>
        <item x="2680"/>
        <item x="1907"/>
        <item x="2615"/>
        <item x="124"/>
        <item x="2279"/>
        <item x="1356"/>
        <item x="1491"/>
        <item x="2518"/>
        <item x="962"/>
        <item x="60"/>
        <item x="853"/>
        <item x="1965"/>
        <item x="7"/>
        <item x="1031"/>
        <item x="1021"/>
        <item x="494"/>
        <item x="1830"/>
        <item x="1856"/>
        <item x="477"/>
        <item x="112"/>
        <item x="2257"/>
        <item x="462"/>
        <item x="1283"/>
        <item x="237"/>
        <item x="1848"/>
        <item x="2216"/>
        <item x="196"/>
        <item x="672"/>
        <item x="1482"/>
        <item x="379"/>
        <item x="2749"/>
        <item x="681"/>
        <item x="2579"/>
        <item x="2078"/>
        <item x="2260"/>
        <item x="733"/>
        <item x="1313"/>
        <item x="2637"/>
        <item x="1927"/>
        <item x="150"/>
        <item x="2574"/>
        <item x="1623"/>
        <item x="784"/>
        <item x="208"/>
        <item x="1601"/>
        <item x="2130"/>
        <item x="2328"/>
        <item x="1080"/>
        <item x="2035"/>
        <item x="467"/>
        <item x="1835"/>
        <item x="1463"/>
        <item x="1126"/>
        <item x="1089"/>
        <item x="549"/>
        <item x="2541"/>
        <item x="1281"/>
        <item x="2476"/>
        <item x="62"/>
        <item x="2178"/>
        <item x="977"/>
        <item x="1719"/>
        <item x="2392"/>
        <item x="885"/>
        <item x="1905"/>
        <item x="1669"/>
        <item x="2467"/>
        <item x="1069"/>
        <item x="1720"/>
        <item x="1026"/>
        <item x="1859"/>
        <item x="1613"/>
        <item x="1577"/>
        <item x="430"/>
        <item x="1661"/>
        <item x="2386"/>
        <item x="1736"/>
        <item x="2146"/>
        <item x="1314"/>
        <item x="2269"/>
        <item x="277"/>
        <item x="557"/>
        <item x="267"/>
        <item x="742"/>
        <item x="1914"/>
        <item x="2684"/>
        <item x="2709"/>
        <item x="1538"/>
        <item x="1777"/>
        <item x="1392"/>
        <item x="2375"/>
        <item x="1548"/>
        <item x="1448"/>
        <item x="526"/>
        <item x="2751"/>
        <item x="1621"/>
        <item x="139"/>
        <item x="442"/>
        <item x="2004"/>
        <item x="1963"/>
        <item x="89"/>
        <item x="2241"/>
        <item x="2666"/>
        <item x="372"/>
        <item x="933"/>
        <item x="2717"/>
        <item x="102"/>
        <item x="1643"/>
        <item x="104"/>
        <item x="2306"/>
        <item x="455"/>
        <item x="1441"/>
        <item x="1432"/>
        <item x="1754"/>
        <item x="878"/>
        <item x="1250"/>
        <item x="1564"/>
        <item x="884"/>
        <item x="417"/>
        <item x="1952"/>
        <item x="320"/>
        <item x="1939"/>
        <item x="827"/>
        <item x="1771"/>
        <item x="1221"/>
        <item x="1634"/>
        <item x="1800"/>
        <item x="2773"/>
        <item x="2115"/>
        <item x="464"/>
        <item x="1042"/>
        <item x="1000"/>
        <item x="2786"/>
        <item x="101"/>
        <item x="466"/>
        <item x="353"/>
        <item x="2068"/>
        <item x="204"/>
        <item x="490"/>
        <item x="2431"/>
        <item x="2526"/>
        <item x="1828"/>
        <item x="2157"/>
        <item x="433"/>
        <item x="684"/>
        <item x="2358"/>
        <item x="1358"/>
        <item x="128"/>
        <item x="2154"/>
        <item x="1079"/>
        <item x="1522"/>
        <item x="2430"/>
        <item x="52"/>
        <item x="1083"/>
        <item x="20"/>
        <item x="1322"/>
        <item x="870"/>
        <item x="1784"/>
        <item x="2806"/>
        <item x="965"/>
        <item x="352"/>
        <item x="2336"/>
        <item x="1929"/>
        <item x="18"/>
        <item x="1633"/>
        <item x="2007"/>
        <item x="1445"/>
        <item x="1066"/>
        <item x="1011"/>
        <item x="159"/>
        <item x="303"/>
        <item x="2237"/>
        <item x="470"/>
        <item x="1225"/>
        <item x="1968"/>
        <item x="1385"/>
        <item x="1048"/>
        <item x="886"/>
        <item x="675"/>
        <item x="240"/>
        <item x="1446"/>
        <item x="2710"/>
        <item x="1019"/>
        <item x="572"/>
        <item x="276"/>
        <item x="1648"/>
        <item x="615"/>
        <item x="1363"/>
        <item x="2297"/>
        <item x="982"/>
        <item x="456"/>
        <item x="2523"/>
        <item x="1659"/>
        <item x="2659"/>
        <item x="1008"/>
        <item x="1386"/>
        <item x="926"/>
        <item x="824"/>
        <item x="206"/>
        <item x="1649"/>
        <item x="1534"/>
        <item x="2062"/>
        <item x="1398"/>
        <item x="2345"/>
        <item x="94"/>
        <item x="522"/>
        <item x="2284"/>
        <item x="2798"/>
        <item x="636"/>
        <item x="2134"/>
        <item x="2645"/>
        <item x="2296"/>
        <item x="2377"/>
        <item x="2436"/>
        <item x="437"/>
        <item x="2455"/>
        <item x="593"/>
        <item x="488"/>
        <item x="613"/>
        <item x="2023"/>
        <item x="1604"/>
        <item x="570"/>
        <item x="1712"/>
        <item x="771"/>
        <item x="1187"/>
        <item x="711"/>
        <item x="699"/>
        <item x="940"/>
        <item x="1430"/>
        <item x="1713"/>
        <item x="1239"/>
        <item x="329"/>
        <item x="1001"/>
        <item x="697"/>
        <item x="1218"/>
        <item x="2489"/>
        <item x="1081"/>
        <item x="1868"/>
        <item x="664"/>
        <item x="1452"/>
        <item x="1097"/>
        <item x="1676"/>
        <item x="2041"/>
        <item x="2100"/>
        <item x="2576"/>
        <item x="1765"/>
        <item x="1675"/>
        <item x="1917"/>
        <item x="1103"/>
        <item x="306"/>
        <item x="1934"/>
        <item x="354"/>
        <item x="608"/>
        <item x="2385"/>
        <item x="712"/>
        <item x="191"/>
        <item x="903"/>
        <item x="2098"/>
        <item x="1462"/>
        <item x="1909"/>
        <item x="2639"/>
        <item x="1898"/>
        <item x="2700"/>
        <item x="1173"/>
        <item x="1181"/>
        <item x="2660"/>
        <item x="1481"/>
        <item x="2299"/>
        <item x="747"/>
        <item x="1815"/>
        <item x="151"/>
        <item x="1751"/>
        <item x="1595"/>
        <item x="2711"/>
        <item x="1695"/>
        <item x="154"/>
        <item x="380"/>
        <item x="187"/>
        <item x="341"/>
        <item x="1516"/>
        <item x="1171"/>
        <item x="1165"/>
        <item x="2427"/>
        <item x="1596"/>
        <item x="2444"/>
        <item x="2785"/>
        <item x="2546"/>
        <item x="1092"/>
        <item x="517"/>
        <item x="1190"/>
        <item x="1495"/>
        <item x="1733"/>
        <item x="293"/>
        <item x="2399"/>
        <item x="1594"/>
        <item x="1504"/>
        <item x="702"/>
        <item x="2225"/>
        <item x="640"/>
        <item x="507"/>
        <item x="1301"/>
        <item x="2025"/>
        <item x="492"/>
        <item x="2320"/>
        <item x="1568"/>
        <item x="2151"/>
        <item x="345"/>
        <item x="634"/>
        <item x="2067"/>
        <item x="443"/>
        <item x="834"/>
        <item x="1035"/>
        <item x="31"/>
        <item x="607"/>
        <item x="1312"/>
        <item x="2458"/>
        <item x="2764"/>
        <item x="23"/>
        <item x="520"/>
        <item x="1077"/>
        <item x="2221"/>
        <item x="2752"/>
        <item x="743"/>
        <item x="1646"/>
        <item x="1683"/>
        <item x="1809"/>
        <item x="201"/>
        <item x="2396"/>
        <item x="1674"/>
        <item x="519"/>
        <item x="2344"/>
        <item x="404"/>
        <item x="1248"/>
        <item x="2113"/>
        <item x="770"/>
        <item x="2689"/>
        <item x="2678"/>
        <item x="1128"/>
        <item x="161"/>
        <item x="1117"/>
        <item x="2374"/>
        <item x="258"/>
        <item x="630"/>
        <item x="665"/>
        <item x="753"/>
        <item x="967"/>
        <item x="537"/>
        <item x="2171"/>
        <item x="2005"/>
        <item x="2079"/>
        <item x="126"/>
        <item x="8"/>
        <item x="1149"/>
        <item x="2676"/>
        <item x="457"/>
        <item x="194"/>
        <item x="551"/>
        <item x="1673"/>
        <item x="332"/>
        <item x="1104"/>
        <item x="674"/>
        <item x="1241"/>
        <item x="580"/>
        <item x="2771"/>
        <item x="2073"/>
        <item x="2401"/>
        <item x="536"/>
        <item x="2571"/>
        <item x="2756"/>
        <item x="1361"/>
        <item x="1323"/>
        <item x="1207"/>
        <item x="1393"/>
        <item x="1707"/>
        <item x="1533"/>
        <item x="444"/>
        <item x="195"/>
        <item x="738"/>
        <item x="859"/>
        <item x="1170"/>
        <item x="2517"/>
        <item x="1192"/>
        <item x="515"/>
        <item x="1411"/>
        <item x="493"/>
        <item x="2528"/>
        <item x="1966"/>
        <item x="1523"/>
        <item x="1215"/>
        <item x="205"/>
        <item x="2214"/>
        <item x="2317"/>
        <item x="769"/>
        <item x="1140"/>
        <item x="900"/>
        <item x="359"/>
        <item x="2560"/>
        <item x="902"/>
        <item x="1202"/>
        <item x="2383"/>
        <item x="113"/>
        <item x="1362"/>
        <item x="1994"/>
        <item x="1566"/>
        <item x="1350"/>
        <item x="1370"/>
        <item x="1101"/>
        <item x="1483"/>
        <item x="591"/>
        <item x="1470"/>
        <item x="78"/>
        <item x="281"/>
        <item x="2691"/>
        <item x="1130"/>
        <item x="925"/>
        <item x="1148"/>
        <item x="781"/>
        <item x="257"/>
        <item x="558"/>
        <item x="304"/>
        <item x="767"/>
        <item x="325"/>
        <item x="21"/>
        <item x="917"/>
        <item x="1693"/>
        <item x="2286"/>
        <item x="2044"/>
        <item x="425"/>
        <item x="2477"/>
        <item x="214"/>
        <item x="79"/>
        <item x="356"/>
        <item x="256"/>
        <item x="1387"/>
        <item x="2611"/>
        <item x="2285"/>
        <item x="534"/>
        <item x="1663"/>
        <item x="1554"/>
        <item x="2487"/>
        <item x="11"/>
        <item x="1737"/>
        <item x="468"/>
        <item x="1078"/>
        <item x="1590"/>
        <item x="2432"/>
        <item x="1141"/>
        <item x="2516"/>
        <item x="1761"/>
        <item x="1179"/>
        <item x="2481"/>
        <item x="1152"/>
        <item x="469"/>
        <item x="9"/>
        <item x="1665"/>
        <item x="25"/>
        <item x="1150"/>
        <item x="1567"/>
        <item x="2622"/>
        <item x="2561"/>
        <item x="1861"/>
        <item x="1180"/>
        <item x="683"/>
        <item x="2647"/>
        <item x="1118"/>
        <item x="795"/>
        <item x="1269"/>
        <item x="1858"/>
        <item x="851"/>
        <item x="1467"/>
        <item x="46"/>
        <item x="1884"/>
        <item x="1371"/>
        <item x="996"/>
        <item x="302"/>
        <item x="1622"/>
        <item x="701"/>
        <item x="2668"/>
        <item x="2024"/>
        <item x="426"/>
        <item x="1684"/>
        <item x="1409"/>
        <item x="1979"/>
        <item x="841"/>
        <item x="1660"/>
        <item x="340"/>
        <item x="2038"/>
        <item x="2631"/>
        <item x="284"/>
        <item x="1996"/>
        <item x="2311"/>
        <item x="1359"/>
        <item x="1203"/>
        <item x="505"/>
        <item x="639"/>
        <item x="1991"/>
        <item x="2170"/>
        <item x="2322"/>
        <item x="2772"/>
        <item x="1420"/>
        <item x="660"/>
        <item x="1024"/>
        <item x="1705"/>
        <item x="1357"/>
        <item x="49"/>
        <item x="2114"/>
        <item x="1282"/>
        <item x="2136"/>
        <item x="618"/>
        <item x="2562"/>
        <item x="950"/>
        <item x="1034"/>
        <item x="2309"/>
        <item x="569"/>
        <item x="1762"/>
        <item x="447"/>
        <item x="1685"/>
        <item x="1153"/>
        <item x="273"/>
        <item x="2490"/>
        <item x="2410"/>
        <item x="988"/>
        <item x="2697"/>
        <item x="606"/>
        <item x="39"/>
        <item x="51"/>
        <item x="2514"/>
        <item x="357"/>
        <item x="1154"/>
        <item x="209"/>
        <item x="1582"/>
        <item x="361"/>
        <item x="2341"/>
        <item x="2640"/>
        <item x="1509"/>
        <item x="2519"/>
        <item x="1849"/>
        <item x="2140"/>
        <item x="1748"/>
        <item x="1658"/>
        <item x="2470"/>
        <item x="975"/>
        <item x="1605"/>
        <item x="2604"/>
        <item x="2376"/>
        <item x="2799"/>
        <item x="479"/>
        <item x="1832"/>
        <item x="1324"/>
        <item x="1419"/>
        <item x="673"/>
        <item x="2585"/>
        <item x="1981"/>
        <item x="1252"/>
        <item x="445"/>
        <item x="1694"/>
        <item x="828"/>
        <item x="1821"/>
        <item x="2646"/>
        <item x="652"/>
        <item x="1204"/>
        <item x="598"/>
        <item x="2563"/>
        <item x="145"/>
        <item x="1775"/>
        <item x="2457"/>
        <item x="1657"/>
        <item x="2215"/>
        <item x="1937"/>
        <item x="838"/>
        <item x="2301"/>
        <item x="1093"/>
        <item x="228"/>
        <item x="1819"/>
        <item x="927"/>
        <item x="1336"/>
        <item x="1222"/>
        <item x="1867"/>
        <item x="2281"/>
        <item x="2675"/>
        <item x="2247"/>
        <item x="2282"/>
        <item x="872"/>
        <item x="1027"/>
        <item x="1970"/>
        <item x="317"/>
        <item x="1670"/>
        <item x="2634"/>
        <item x="475"/>
        <item x="2418"/>
        <item x="852"/>
        <item x="1106"/>
        <item x="1253"/>
        <item x="1146"/>
        <item x="2069"/>
        <item x="659"/>
        <item x="2028"/>
        <item x="820"/>
        <item x="1740"/>
        <item x="1500"/>
        <item x="2679"/>
        <item x="1096"/>
        <item x="1829"/>
        <item x="1442"/>
        <item x="1706"/>
        <item x="2471"/>
        <item x="189"/>
        <item x="2716"/>
        <item x="2287"/>
        <item x="1763"/>
        <item x="2515"/>
        <item x="826"/>
        <item x="2097"/>
        <item x="274"/>
        <item x="1886"/>
        <item x="939"/>
        <item x="2635"/>
        <item x="333"/>
        <item x="1925"/>
        <item x="1569"/>
        <item x="2258"/>
        <item x="1766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" fld="3" baseField="0" baseItem="0"/>
  </dataFields>
  <formats count="14">
    <format dxfId="0">
      <pivotArea dataOnly="0" labelOnly="1" fieldPosition="0">
        <references count="1">
          <reference field="1" count="1">
            <x v="0"/>
          </reference>
        </references>
      </pivotArea>
    </format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2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dataOnly="0" labelOnly="1" fieldPosition="0">
        <references count="1">
          <reference field="1" count="1">
            <x v="41"/>
          </reference>
        </references>
      </pivotArea>
    </format>
    <format dxfId="4">
      <pivotArea collapsedLevelsAreSubtotals="1" fieldPosition="0"/>
    </format>
    <format dxfId="5">
      <pivotArea collapsedLevelsAreSubtotals="1" fieldPosition="0">
        <references count="1">
          <reference field="1" count="1" selected="0">
            <x v="0"/>
          </reference>
        </references>
      </pivotArea>
    </format>
    <format dxfId="6">
      <pivotArea collapsedLevelsAreSubtotals="1" fieldPosition="0">
        <references count="1">
          <reference field="1" count="1" selected="0">
            <x v="0"/>
          </reference>
        </references>
      </pivotArea>
    </format>
    <format dxfId="7">
      <pivotArea collapsedLevelsAreSubtotals="1" fieldPosition="0">
        <references count="1">
          <reference field="1" count="1" selected="0">
            <x v="0"/>
          </reference>
        </references>
      </pivotArea>
    </format>
    <format dxfId="8">
      <pivotArea collapsedLevelsAreSubtotals="1" fieldPosition="0">
        <references count="1">
          <reference field="1" count="1" selected="0">
            <x v="0"/>
          </reference>
        </references>
      </pivotArea>
    </format>
    <format dxfId="9">
      <pivotArea collapsedLevelsAreSubtotals="1" fieldPosition="0">
        <references count="1">
          <reference field="1" count="1" selected="0">
            <x v="0"/>
          </reference>
        </references>
      </pivotArea>
    </format>
    <format dxfId="10">
      <pivotArea collapsedLevelsAreSubtotals="1" fieldPosition="0">
        <references count="1">
          <reference field="1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1" selected="0">
            <x v="1"/>
          </reference>
        </references>
      </pivotArea>
    </format>
    <format dxfId="12">
      <pivotArea dataOnly="0" axis="axisValues" fieldPosition="0"/>
    </format>
    <format dxfId="1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_x000a_таблица1" cacheId="1" autoFormatId="1" applyNumberFormats="0" applyBorderFormats="0" applyFontFormats="0" applyPatternFormats="0" applyAlignmentFormats="0" applyWidthHeightFormats="1" dataCaption="Значения" updatedVersion="5" minRefreshableVersion="3" createdVersion="5" rowGrandTotals="0" colGrandTotals="0" compact="0" indent="0" outline="1" compactData="0" outlineData="1" showDrill="1" multipleFieldFilters="0">
  <location ref="R3:U7" firstHeaderRow="1" firstDataRow="2" firstDataCol="1"/>
  <pivotFields count="5">
    <pivotField compact="0" showAll="0"/>
    <pivotField compact="0" numFmtId="178" showAll="0"/>
    <pivotField axis="axisRow" compact="0" showAll="0">
      <items count="4">
        <item x="0"/>
        <item x="1"/>
        <item x="2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dataField="1" compact="0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Сумма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zoomScale="71" zoomScaleNormal="71" workbookViewId="0">
      <selection activeCell="L17" sqref="L17"/>
    </sheetView>
  </sheetViews>
  <sheetFormatPr defaultColWidth="9.02654867256637" defaultRowHeight="14.25"/>
  <cols>
    <col min="1" max="1" width="29.9557522123894"/>
    <col min="2" max="2" width="14.3982300884956" customWidth="1"/>
    <col min="5" max="5" width="12.7964601769912"/>
    <col min="7" max="7" width="12.7964601769912"/>
    <col min="8" max="8" width="9.53097345132743"/>
    <col min="9" max="9" width="13.858407079646"/>
  </cols>
  <sheetData>
    <row r="1" ht="16.9" spans="7:11">
      <c r="G1" t="s">
        <v>0</v>
      </c>
      <c r="H1" s="24" t="s">
        <v>1</v>
      </c>
      <c r="J1" t="s">
        <v>2</v>
      </c>
      <c r="K1" t="s">
        <v>3</v>
      </c>
    </row>
    <row r="2" spans="7:11">
      <c r="G2" s="25">
        <v>0</v>
      </c>
      <c r="H2" s="25">
        <v>0</v>
      </c>
      <c r="J2" s="26">
        <v>0.2</v>
      </c>
      <c r="K2" s="27">
        <v>0.834134725524499</v>
      </c>
    </row>
    <row r="3" spans="7:11">
      <c r="G3" s="25">
        <v>1</v>
      </c>
      <c r="H3" s="25">
        <v>1</v>
      </c>
      <c r="I3" s="25"/>
      <c r="J3" s="28">
        <v>0.2</v>
      </c>
      <c r="K3" s="25">
        <v>0</v>
      </c>
    </row>
    <row r="5" ht="16.9" spans="7:11">
      <c r="G5" t="s">
        <v>0</v>
      </c>
      <c r="H5" s="24" t="s">
        <v>4</v>
      </c>
      <c r="J5" t="s">
        <v>5</v>
      </c>
      <c r="K5" t="s">
        <v>6</v>
      </c>
    </row>
    <row r="6" spans="7:11">
      <c r="G6" s="26">
        <v>0.2</v>
      </c>
      <c r="H6" s="27">
        <v>0.834134725524499</v>
      </c>
      <c r="J6" s="26">
        <v>0.45</v>
      </c>
      <c r="K6" s="27">
        <v>0.950019051210697</v>
      </c>
    </row>
    <row r="7" spans="7:11">
      <c r="G7" s="25">
        <v>1</v>
      </c>
      <c r="H7" s="25">
        <v>1</v>
      </c>
      <c r="J7" s="28">
        <v>0.45</v>
      </c>
      <c r="K7" s="25">
        <v>0</v>
      </c>
    </row>
    <row r="21" spans="1:10">
      <c r="D21" t="s">
        <v>7</v>
      </c>
      <c r="E21" s="24" t="s">
        <v>8</v>
      </c>
    </row>
    <row r="22" ht="16.9" spans="1:10">
      <c r="A22" t="s">
        <v>9</v>
      </c>
      <c r="B22" t="s">
        <v>10</v>
      </c>
      <c r="C22" t="s">
        <v>11</v>
      </c>
      <c r="D22" s="29" t="s">
        <v>0</v>
      </c>
      <c r="E22" s="29" t="s">
        <v>12</v>
      </c>
      <c r="F22" s="29" t="s">
        <v>13</v>
      </c>
      <c r="G22" s="29" t="s">
        <v>14</v>
      </c>
      <c r="H22" s="29" t="s">
        <v>15</v>
      </c>
      <c r="I22" s="29" t="s">
        <v>16</v>
      </c>
      <c r="J22" s="29" t="s">
        <v>17</v>
      </c>
    </row>
    <row r="23" spans="1:10">
      <c r="A23" t="s">
        <v>18</v>
      </c>
      <c r="B23" s="30">
        <v>0.453098819371302</v>
      </c>
      <c r="C23">
        <v>1</v>
      </c>
      <c r="D23" s="31">
        <f>C23/MAX(C:C)</f>
        <v>0.05</v>
      </c>
      <c r="E23" s="40">
        <f>B23</f>
        <v>0.453098819371302</v>
      </c>
      <c r="F23" s="41">
        <f>D23</f>
        <v>0.05</v>
      </c>
      <c r="G23" s="27">
        <f>E23-F23</f>
        <v>0.403098819371302</v>
      </c>
      <c r="H23" s="34">
        <f>0.2073*D23+0.7927</f>
        <v>0.803065</v>
      </c>
      <c r="I23" s="27">
        <f>E23-H23</f>
        <v>-0.349966180628698</v>
      </c>
      <c r="J23" t="s">
        <v>19</v>
      </c>
    </row>
    <row r="24" spans="1:10">
      <c r="A24" t="s">
        <v>20</v>
      </c>
      <c r="B24" s="30">
        <v>0.649675416957838</v>
      </c>
      <c r="C24">
        <v>2</v>
      </c>
      <c r="D24" s="31">
        <f t="shared" ref="D24:D42" si="0">C24/MAX(C:C)</f>
        <v>0.1</v>
      </c>
      <c r="E24" s="40">
        <f t="shared" ref="E24:E42" si="1">B24</f>
        <v>0.649675416957838</v>
      </c>
      <c r="F24" s="41">
        <f t="shared" ref="F24:F42" si="2">D24</f>
        <v>0.1</v>
      </c>
      <c r="G24" s="27">
        <f t="shared" ref="G24:G42" si="3">E24-F24</f>
        <v>0.549675416957838</v>
      </c>
      <c r="H24" s="34">
        <f t="shared" ref="H24:H42" si="4">0.2073*D24+0.7927</f>
        <v>0.81343</v>
      </c>
      <c r="I24" s="27">
        <f t="shared" ref="I24:I42" si="5">E24-H24</f>
        <v>-0.163754583042162</v>
      </c>
      <c r="J24" t="s">
        <v>19</v>
      </c>
    </row>
    <row r="25" spans="1:10">
      <c r="A25" t="s">
        <v>21</v>
      </c>
      <c r="B25" s="30">
        <v>0.772495871636681</v>
      </c>
      <c r="C25">
        <v>3</v>
      </c>
      <c r="D25" s="31">
        <f t="shared" si="0"/>
        <v>0.15</v>
      </c>
      <c r="E25" s="40">
        <f t="shared" si="1"/>
        <v>0.772495871636681</v>
      </c>
      <c r="F25" s="41">
        <f t="shared" si="2"/>
        <v>0.15</v>
      </c>
      <c r="G25" s="27">
        <f t="shared" si="3"/>
        <v>0.622495871636681</v>
      </c>
      <c r="H25" s="34">
        <f t="shared" si="4"/>
        <v>0.823795</v>
      </c>
      <c r="I25" s="27">
        <f t="shared" si="5"/>
        <v>-0.051299128363319</v>
      </c>
      <c r="J25" t="s">
        <v>19</v>
      </c>
    </row>
    <row r="26" spans="1:10">
      <c r="A26" t="s">
        <v>22</v>
      </c>
      <c r="B26" s="30">
        <v>0.834134725524499</v>
      </c>
      <c r="C26">
        <v>4</v>
      </c>
      <c r="D26" s="31">
        <f t="shared" si="0"/>
        <v>0.2</v>
      </c>
      <c r="E26" s="42">
        <f t="shared" si="1"/>
        <v>0.834134725524499</v>
      </c>
      <c r="F26" s="41">
        <f t="shared" si="2"/>
        <v>0.2</v>
      </c>
      <c r="G26" s="27">
        <f t="shared" si="3"/>
        <v>0.634134725524499</v>
      </c>
      <c r="H26" s="34">
        <f t="shared" si="4"/>
        <v>0.83416</v>
      </c>
      <c r="I26" s="27">
        <f t="shared" si="5"/>
        <v>-2.5274475501047e-5</v>
      </c>
      <c r="J26" t="s">
        <v>19</v>
      </c>
    </row>
    <row r="27" spans="1:10">
      <c r="A27" t="s">
        <v>23</v>
      </c>
      <c r="B27" s="30">
        <v>0.873621833210877</v>
      </c>
      <c r="C27">
        <v>5</v>
      </c>
      <c r="D27" s="36">
        <f t="shared" si="0"/>
        <v>0.25</v>
      </c>
      <c r="E27" s="42">
        <f t="shared" si="1"/>
        <v>0.873621833210877</v>
      </c>
      <c r="F27" s="41">
        <f t="shared" si="2"/>
        <v>0.25</v>
      </c>
      <c r="G27" s="27">
        <f t="shared" si="3"/>
        <v>0.623621833210877</v>
      </c>
      <c r="H27" s="34">
        <f t="shared" si="4"/>
        <v>0.844525</v>
      </c>
      <c r="I27" s="27">
        <f t="shared" si="5"/>
        <v>0.0290968332108771</v>
      </c>
      <c r="J27" t="s">
        <v>24</v>
      </c>
    </row>
    <row r="28" spans="1:10">
      <c r="A28" t="s">
        <v>25</v>
      </c>
      <c r="B28" s="30">
        <v>0.900003757900346</v>
      </c>
      <c r="C28">
        <v>6</v>
      </c>
      <c r="D28" s="36">
        <f t="shared" si="0"/>
        <v>0.3</v>
      </c>
      <c r="E28" s="42">
        <f t="shared" si="1"/>
        <v>0.900003757900346</v>
      </c>
      <c r="F28" s="41">
        <f t="shared" si="2"/>
        <v>0.3</v>
      </c>
      <c r="G28" s="27">
        <f t="shared" si="3"/>
        <v>0.600003757900346</v>
      </c>
      <c r="H28" s="34">
        <f t="shared" si="4"/>
        <v>0.85489</v>
      </c>
      <c r="I28" s="27">
        <f t="shared" si="5"/>
        <v>0.0451137579003461</v>
      </c>
      <c r="J28" t="s">
        <v>24</v>
      </c>
    </row>
    <row r="29" spans="1:10">
      <c r="A29" t="s">
        <v>26</v>
      </c>
      <c r="B29" s="30">
        <v>0.920719852856402</v>
      </c>
      <c r="C29">
        <v>7</v>
      </c>
      <c r="D29" s="36">
        <f t="shared" si="0"/>
        <v>0.35</v>
      </c>
      <c r="E29" s="42">
        <f t="shared" si="1"/>
        <v>0.920719852856402</v>
      </c>
      <c r="F29" s="41">
        <f t="shared" si="2"/>
        <v>0.35</v>
      </c>
      <c r="G29" s="27">
        <f t="shared" si="3"/>
        <v>0.570719852856402</v>
      </c>
      <c r="H29" s="34">
        <f t="shared" si="4"/>
        <v>0.865255</v>
      </c>
      <c r="I29" s="27">
        <f t="shared" si="5"/>
        <v>0.055464852856402</v>
      </c>
      <c r="J29" t="s">
        <v>24</v>
      </c>
    </row>
    <row r="30" spans="1:10">
      <c r="A30" t="s">
        <v>27</v>
      </c>
      <c r="B30" s="30">
        <v>0.936352652732888</v>
      </c>
      <c r="C30">
        <v>8</v>
      </c>
      <c r="D30" s="36">
        <f t="shared" si="0"/>
        <v>0.4</v>
      </c>
      <c r="E30" s="42">
        <f t="shared" si="1"/>
        <v>0.936352652732888</v>
      </c>
      <c r="F30" s="41">
        <f t="shared" si="2"/>
        <v>0.4</v>
      </c>
      <c r="G30" s="27">
        <f t="shared" si="3"/>
        <v>0.536352652732888</v>
      </c>
      <c r="H30" s="34">
        <f t="shared" si="4"/>
        <v>0.87562</v>
      </c>
      <c r="I30" s="27">
        <f t="shared" si="5"/>
        <v>0.0607326527328881</v>
      </c>
      <c r="J30" t="s">
        <v>24</v>
      </c>
    </row>
    <row r="31" spans="1:10">
      <c r="A31" t="s">
        <v>28</v>
      </c>
      <c r="B31" s="30">
        <v>0.950019051210697</v>
      </c>
      <c r="C31">
        <v>9</v>
      </c>
      <c r="D31" s="36">
        <f t="shared" si="0"/>
        <v>0.45</v>
      </c>
      <c r="E31" s="42">
        <f t="shared" si="1"/>
        <v>0.950019051210697</v>
      </c>
      <c r="F31" s="41">
        <f t="shared" si="2"/>
        <v>0.45</v>
      </c>
      <c r="G31" s="27">
        <f t="shared" si="3"/>
        <v>0.500019051210697</v>
      </c>
      <c r="H31" s="34">
        <f t="shared" si="4"/>
        <v>0.885985</v>
      </c>
      <c r="I31" s="27">
        <f t="shared" si="5"/>
        <v>0.0640340512106969</v>
      </c>
      <c r="J31" t="s">
        <v>24</v>
      </c>
    </row>
    <row r="32" spans="1:10">
      <c r="A32" t="s">
        <v>29</v>
      </c>
      <c r="B32" s="30">
        <v>0.960259061935192</v>
      </c>
      <c r="C32">
        <v>10</v>
      </c>
      <c r="D32" s="36">
        <f t="shared" si="0"/>
        <v>0.5</v>
      </c>
      <c r="E32" s="43">
        <f t="shared" si="1"/>
        <v>0.960259061935192</v>
      </c>
      <c r="F32" s="41">
        <f t="shared" si="2"/>
        <v>0.5</v>
      </c>
      <c r="G32" s="27">
        <f t="shared" si="3"/>
        <v>0.460259061935192</v>
      </c>
      <c r="H32" s="34">
        <f t="shared" si="4"/>
        <v>0.89635</v>
      </c>
      <c r="I32" s="27">
        <f t="shared" si="5"/>
        <v>0.063909061935192</v>
      </c>
      <c r="J32" t="s">
        <v>30</v>
      </c>
    </row>
    <row r="33" spans="1:10">
      <c r="A33" t="s">
        <v>31</v>
      </c>
      <c r="B33" s="30">
        <v>0.969260593713943</v>
      </c>
      <c r="C33">
        <v>11</v>
      </c>
      <c r="D33" s="38">
        <f t="shared" si="0"/>
        <v>0.55</v>
      </c>
      <c r="E33" s="43">
        <f t="shared" si="1"/>
        <v>0.969260593713943</v>
      </c>
      <c r="F33" s="41">
        <f t="shared" si="2"/>
        <v>0.55</v>
      </c>
      <c r="G33" s="27">
        <f t="shared" si="3"/>
        <v>0.419260593713943</v>
      </c>
      <c r="H33" s="34">
        <f t="shared" si="4"/>
        <v>0.906715</v>
      </c>
      <c r="I33" s="27">
        <f t="shared" si="5"/>
        <v>0.0625455937139431</v>
      </c>
      <c r="J33" t="s">
        <v>30</v>
      </c>
    </row>
    <row r="34" spans="1:10">
      <c r="A34" t="s">
        <v>32</v>
      </c>
      <c r="B34" s="30">
        <v>0.976823130491838</v>
      </c>
      <c r="C34">
        <v>12</v>
      </c>
      <c r="D34" s="38">
        <f t="shared" si="0"/>
        <v>0.6</v>
      </c>
      <c r="E34" s="43">
        <f t="shared" si="1"/>
        <v>0.976823130491838</v>
      </c>
      <c r="F34" s="41">
        <f t="shared" si="2"/>
        <v>0.6</v>
      </c>
      <c r="G34" s="27">
        <f t="shared" si="3"/>
        <v>0.376823130491838</v>
      </c>
      <c r="H34" s="34">
        <f t="shared" si="4"/>
        <v>0.91708</v>
      </c>
      <c r="I34" s="27">
        <f t="shared" si="5"/>
        <v>0.059743130491838</v>
      </c>
      <c r="J34" t="s">
        <v>30</v>
      </c>
    </row>
    <row r="35" spans="1:10">
      <c r="A35" t="s">
        <v>33</v>
      </c>
      <c r="B35" s="30">
        <v>0.982514890721099</v>
      </c>
      <c r="C35">
        <v>13</v>
      </c>
      <c r="D35" s="38">
        <f t="shared" si="0"/>
        <v>0.65</v>
      </c>
      <c r="E35" s="43">
        <f t="shared" si="1"/>
        <v>0.982514890721099</v>
      </c>
      <c r="F35" s="41">
        <f t="shared" si="2"/>
        <v>0.65</v>
      </c>
      <c r="G35" s="27">
        <f t="shared" si="3"/>
        <v>0.332514890721099</v>
      </c>
      <c r="H35" s="34">
        <f t="shared" si="4"/>
        <v>0.927445</v>
      </c>
      <c r="I35" s="27">
        <f t="shared" si="5"/>
        <v>0.055069890721099</v>
      </c>
      <c r="J35" t="s">
        <v>30</v>
      </c>
    </row>
    <row r="36" spans="1:10">
      <c r="A36" t="s">
        <v>34</v>
      </c>
      <c r="B36" s="30">
        <v>0.986922342885536</v>
      </c>
      <c r="C36">
        <v>14</v>
      </c>
      <c r="D36" s="38">
        <f t="shared" si="0"/>
        <v>0.7</v>
      </c>
      <c r="E36" s="43">
        <f t="shared" si="1"/>
        <v>0.986922342885536</v>
      </c>
      <c r="F36" s="41">
        <f t="shared" si="2"/>
        <v>0.7</v>
      </c>
      <c r="G36" s="27">
        <f t="shared" si="3"/>
        <v>0.286922342885536</v>
      </c>
      <c r="H36" s="34">
        <f t="shared" si="4"/>
        <v>0.93781</v>
      </c>
      <c r="I36" s="27">
        <f t="shared" si="5"/>
        <v>0.0491123428855361</v>
      </c>
      <c r="J36" t="s">
        <v>30</v>
      </c>
    </row>
    <row r="37" spans="1:10">
      <c r="A37" t="s">
        <v>35</v>
      </c>
      <c r="B37" s="30">
        <v>0.99120218597686</v>
      </c>
      <c r="C37">
        <v>15</v>
      </c>
      <c r="D37" s="38">
        <f t="shared" si="0"/>
        <v>0.75</v>
      </c>
      <c r="E37" s="43">
        <f t="shared" si="1"/>
        <v>0.99120218597686</v>
      </c>
      <c r="F37" s="41">
        <f t="shared" si="2"/>
        <v>0.75</v>
      </c>
      <c r="G37" s="27">
        <f t="shared" si="3"/>
        <v>0.24120218597686</v>
      </c>
      <c r="H37" s="34">
        <f t="shared" si="4"/>
        <v>0.948175</v>
      </c>
      <c r="I37" s="27">
        <f t="shared" si="5"/>
        <v>0.0430271859768601</v>
      </c>
      <c r="J37" t="s">
        <v>30</v>
      </c>
    </row>
    <row r="38" spans="1:10">
      <c r="A38" t="s">
        <v>36</v>
      </c>
      <c r="B38" s="30">
        <v>0.994080744198456</v>
      </c>
      <c r="C38">
        <v>16</v>
      </c>
      <c r="D38" s="38">
        <f t="shared" si="0"/>
        <v>0.8</v>
      </c>
      <c r="E38" s="43">
        <f t="shared" si="1"/>
        <v>0.994080744198456</v>
      </c>
      <c r="F38" s="41">
        <f t="shared" si="2"/>
        <v>0.8</v>
      </c>
      <c r="G38" s="27">
        <f t="shared" si="3"/>
        <v>0.194080744198456</v>
      </c>
      <c r="H38" s="34">
        <f t="shared" si="4"/>
        <v>0.95854</v>
      </c>
      <c r="I38" s="27">
        <f t="shared" si="5"/>
        <v>0.0355407441984561</v>
      </c>
      <c r="J38" t="s">
        <v>30</v>
      </c>
    </row>
    <row r="39" spans="1:10">
      <c r="A39" t="s">
        <v>37</v>
      </c>
      <c r="B39" s="30">
        <v>0.996456985115557</v>
      </c>
      <c r="C39">
        <v>17</v>
      </c>
      <c r="D39" s="38">
        <f t="shared" si="0"/>
        <v>0.85</v>
      </c>
      <c r="E39" s="43">
        <f t="shared" si="1"/>
        <v>0.996456985115557</v>
      </c>
      <c r="F39" s="41">
        <f t="shared" si="2"/>
        <v>0.85</v>
      </c>
      <c r="G39" s="27">
        <f t="shared" si="3"/>
        <v>0.146456985115557</v>
      </c>
      <c r="H39" s="34">
        <f t="shared" si="4"/>
        <v>0.968905</v>
      </c>
      <c r="I39" s="27">
        <f t="shared" si="5"/>
        <v>0.0275519851155571</v>
      </c>
      <c r="J39" t="s">
        <v>30</v>
      </c>
    </row>
    <row r="40" spans="1:10">
      <c r="A40" t="s">
        <v>38</v>
      </c>
      <c r="B40" s="30">
        <v>0.997688492440419</v>
      </c>
      <c r="C40">
        <v>18</v>
      </c>
      <c r="D40" s="38">
        <f t="shared" si="0"/>
        <v>0.9</v>
      </c>
      <c r="E40" s="43">
        <f t="shared" si="1"/>
        <v>0.997688492440419</v>
      </c>
      <c r="F40" s="41">
        <f t="shared" si="2"/>
        <v>0.9</v>
      </c>
      <c r="G40" s="27">
        <f t="shared" si="3"/>
        <v>0.097688492440419</v>
      </c>
      <c r="H40" s="34">
        <f t="shared" si="4"/>
        <v>0.97927</v>
      </c>
      <c r="I40" s="27">
        <f t="shared" si="5"/>
        <v>0.018418492440419</v>
      </c>
      <c r="J40" t="s">
        <v>30</v>
      </c>
    </row>
    <row r="41" spans="1:10">
      <c r="A41" t="s">
        <v>39</v>
      </c>
      <c r="B41" s="30">
        <v>0.998854785606322</v>
      </c>
      <c r="C41">
        <v>19</v>
      </c>
      <c r="D41" s="38">
        <f t="shared" si="0"/>
        <v>0.95</v>
      </c>
      <c r="E41" s="43">
        <f t="shared" si="1"/>
        <v>0.998854785606322</v>
      </c>
      <c r="F41" s="41">
        <f t="shared" si="2"/>
        <v>0.95</v>
      </c>
      <c r="G41" s="27">
        <f t="shared" si="3"/>
        <v>0.0488547856063221</v>
      </c>
      <c r="H41" s="34">
        <f t="shared" si="4"/>
        <v>0.989635</v>
      </c>
      <c r="I41" s="27">
        <f t="shared" si="5"/>
        <v>0.00921978560632208</v>
      </c>
      <c r="J41" t="s">
        <v>30</v>
      </c>
    </row>
    <row r="42" spans="1:10">
      <c r="A42" t="s">
        <v>40</v>
      </c>
      <c r="B42" s="30">
        <v>1</v>
      </c>
      <c r="C42">
        <v>20</v>
      </c>
      <c r="D42" s="38">
        <f t="shared" si="0"/>
        <v>1</v>
      </c>
      <c r="E42" s="43">
        <f t="shared" si="1"/>
        <v>1</v>
      </c>
      <c r="F42" s="41">
        <f t="shared" si="2"/>
        <v>1</v>
      </c>
      <c r="G42" s="27">
        <f t="shared" si="3"/>
        <v>0</v>
      </c>
      <c r="H42" s="34">
        <f t="shared" si="4"/>
        <v>1</v>
      </c>
      <c r="I42" s="27">
        <f t="shared" si="5"/>
        <v>0</v>
      </c>
      <c r="J42" t="s">
        <v>30</v>
      </c>
    </row>
  </sheetData>
  <conditionalFormatting sqref="G23:G42">
    <cfRule type="top10" dxfId="14" priority="2" rank="1"/>
  </conditionalFormatting>
  <conditionalFormatting sqref="I23:I42">
    <cfRule type="top10" dxfId="14" priority="1" rank="1"/>
  </conditionalFormatting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3"/>
  <sheetViews>
    <sheetView zoomScale="54" zoomScaleNormal="54" workbookViewId="0">
      <selection activeCell="O38" sqref="O38"/>
    </sheetView>
  </sheetViews>
  <sheetFormatPr defaultColWidth="9.02654867256637" defaultRowHeight="14.25"/>
  <cols>
    <col min="1" max="1" width="29.9557522123894"/>
    <col min="2" max="2" width="12.7964601769912"/>
    <col min="5" max="5" width="12.7964601769912"/>
    <col min="7" max="7" width="12.7964601769912"/>
    <col min="9" max="9" width="13.858407079646"/>
  </cols>
  <sheetData>
    <row r="2" ht="16.9" spans="8:15">
      <c r="H2" t="s">
        <v>0</v>
      </c>
      <c r="I2" s="24" t="s">
        <v>1</v>
      </c>
      <c r="L2" t="s">
        <v>2</v>
      </c>
      <c r="M2" t="s">
        <v>3</v>
      </c>
      <c r="O2" t="s">
        <v>41</v>
      </c>
    </row>
    <row r="3" spans="8:15">
      <c r="H3" s="25">
        <v>0</v>
      </c>
      <c r="I3" s="25">
        <v>0</v>
      </c>
      <c r="L3" s="26">
        <v>0.25</v>
      </c>
      <c r="M3" s="27">
        <v>0.761517615176152</v>
      </c>
    </row>
    <row r="4" spans="8:15">
      <c r="H4" s="25">
        <v>1</v>
      </c>
      <c r="I4" s="25">
        <v>1</v>
      </c>
      <c r="L4" s="28">
        <v>0.25</v>
      </c>
      <c r="M4" s="25">
        <v>0</v>
      </c>
    </row>
    <row r="6" ht="16.9" spans="8:15">
      <c r="H6" t="s">
        <v>0</v>
      </c>
      <c r="I6" s="24" t="s">
        <v>4</v>
      </c>
      <c r="L6" t="s">
        <v>42</v>
      </c>
      <c r="M6" t="s">
        <v>43</v>
      </c>
    </row>
    <row r="7" spans="8:15">
      <c r="H7" s="26">
        <v>0.25</v>
      </c>
      <c r="I7" s="27">
        <v>0.761517615176152</v>
      </c>
      <c r="L7" s="26">
        <v>0.6</v>
      </c>
      <c r="M7" s="27">
        <v>0.948170731707317</v>
      </c>
    </row>
    <row r="8" spans="8:15">
      <c r="H8" s="25">
        <v>1</v>
      </c>
      <c r="I8" s="25">
        <v>1</v>
      </c>
      <c r="L8" s="26">
        <f>L7</f>
        <v>0.6</v>
      </c>
      <c r="M8" s="25">
        <v>0</v>
      </c>
    </row>
    <row r="22" spans="1:10">
      <c r="D22" t="s">
        <v>7</v>
      </c>
      <c r="E22" s="24" t="s">
        <v>8</v>
      </c>
    </row>
    <row r="23" ht="16.9" spans="1:10">
      <c r="A23" t="s">
        <v>9</v>
      </c>
      <c r="B23" t="s">
        <v>10</v>
      </c>
      <c r="C23" t="s">
        <v>11</v>
      </c>
      <c r="D23" s="29" t="s">
        <v>0</v>
      </c>
      <c r="E23" s="29" t="s">
        <v>12</v>
      </c>
      <c r="F23" s="29" t="s">
        <v>13</v>
      </c>
      <c r="G23" s="29" t="s">
        <v>14</v>
      </c>
      <c r="H23" s="29" t="s">
        <v>15</v>
      </c>
      <c r="I23" s="29" t="s">
        <v>16</v>
      </c>
      <c r="J23" s="29" t="s">
        <v>17</v>
      </c>
    </row>
    <row r="24" spans="1:10">
      <c r="A24" t="s">
        <v>18</v>
      </c>
      <c r="B24" s="30">
        <v>0.340447154471545</v>
      </c>
      <c r="C24">
        <v>1</v>
      </c>
      <c r="D24" s="31">
        <f>C24/MAX(C:C)</f>
        <v>0.05</v>
      </c>
      <c r="E24" s="32">
        <f>B24</f>
        <v>0.340447154471545</v>
      </c>
      <c r="F24" s="33">
        <f>D24</f>
        <v>0.05</v>
      </c>
      <c r="G24" s="27">
        <f>E24-F24</f>
        <v>0.290447154471545</v>
      </c>
      <c r="H24" s="34">
        <f>0.318*D24+0.682</f>
        <v>0.6979</v>
      </c>
      <c r="I24" s="35">
        <f>E24-H24</f>
        <v>-0.357452845528455</v>
      </c>
      <c r="J24" t="s">
        <v>19</v>
      </c>
    </row>
    <row r="25" spans="1:10">
      <c r="A25" t="s">
        <v>20</v>
      </c>
      <c r="B25" s="30">
        <v>0.5210027100271</v>
      </c>
      <c r="C25">
        <v>2</v>
      </c>
      <c r="D25" s="31">
        <f t="shared" ref="D25:D43" si="0">C25/MAX(C:C)</f>
        <v>0.1</v>
      </c>
      <c r="E25" s="32">
        <f t="shared" ref="E25:E43" si="1">B25</f>
        <v>0.5210027100271</v>
      </c>
      <c r="F25" s="33">
        <f t="shared" ref="F25:F43" si="2">D25</f>
        <v>0.1</v>
      </c>
      <c r="G25" s="27">
        <f t="shared" ref="G25:G43" si="3">E25-F25</f>
        <v>0.4210027100271</v>
      </c>
      <c r="H25" s="34">
        <f t="shared" ref="H25:H43" si="4">0.318*D25+0.682</f>
        <v>0.7138</v>
      </c>
      <c r="I25" s="35">
        <f t="shared" ref="I25:I43" si="5">E25-H25</f>
        <v>-0.1927972899729</v>
      </c>
      <c r="J25" t="s">
        <v>19</v>
      </c>
    </row>
    <row r="26" spans="1:10">
      <c r="A26" t="s">
        <v>21</v>
      </c>
      <c r="B26" s="30">
        <v>0.638211382113821</v>
      </c>
      <c r="C26">
        <v>3</v>
      </c>
      <c r="D26" s="31">
        <f t="shared" si="0"/>
        <v>0.15</v>
      </c>
      <c r="E26" s="32">
        <f t="shared" si="1"/>
        <v>0.638211382113821</v>
      </c>
      <c r="F26" s="33">
        <f t="shared" si="2"/>
        <v>0.15</v>
      </c>
      <c r="G26" s="27">
        <f t="shared" si="3"/>
        <v>0.488211382113821</v>
      </c>
      <c r="H26" s="34">
        <f t="shared" si="4"/>
        <v>0.7297</v>
      </c>
      <c r="I26" s="35">
        <f t="shared" si="5"/>
        <v>-0.091488617886179</v>
      </c>
      <c r="J26" t="s">
        <v>19</v>
      </c>
    </row>
    <row r="27" spans="1:10">
      <c r="A27" t="s">
        <v>22</v>
      </c>
      <c r="B27" s="30">
        <v>0.708333333333333</v>
      </c>
      <c r="C27">
        <v>4</v>
      </c>
      <c r="D27" s="31">
        <f t="shared" si="0"/>
        <v>0.2</v>
      </c>
      <c r="E27" s="32">
        <f t="shared" si="1"/>
        <v>0.708333333333333</v>
      </c>
      <c r="F27" s="33">
        <f t="shared" si="2"/>
        <v>0.2</v>
      </c>
      <c r="G27" s="27">
        <f t="shared" si="3"/>
        <v>0.508333333333333</v>
      </c>
      <c r="H27" s="34">
        <f t="shared" si="4"/>
        <v>0.7456</v>
      </c>
      <c r="I27" s="35">
        <f t="shared" si="5"/>
        <v>-0.037266666666667</v>
      </c>
      <c r="J27" t="s">
        <v>19</v>
      </c>
    </row>
    <row r="28" spans="1:10">
      <c r="A28" t="s">
        <v>23</v>
      </c>
      <c r="B28" s="30">
        <v>0.761517615176152</v>
      </c>
      <c r="C28">
        <v>5</v>
      </c>
      <c r="D28" s="36">
        <f t="shared" si="0"/>
        <v>0.25</v>
      </c>
      <c r="E28" s="32">
        <f t="shared" si="1"/>
        <v>0.761517615176152</v>
      </c>
      <c r="F28" s="33">
        <f t="shared" si="2"/>
        <v>0.25</v>
      </c>
      <c r="G28" s="27">
        <f t="shared" si="3"/>
        <v>0.511517615176152</v>
      </c>
      <c r="H28" s="34">
        <f t="shared" si="4"/>
        <v>0.7615</v>
      </c>
      <c r="I28" s="35">
        <f t="shared" si="5"/>
        <v>1.76151761519527e-5</v>
      </c>
      <c r="J28" t="s">
        <v>19</v>
      </c>
    </row>
    <row r="29" spans="1:10">
      <c r="A29" t="s">
        <v>25</v>
      </c>
      <c r="B29" s="30">
        <v>0.801490514905149</v>
      </c>
      <c r="C29">
        <v>6</v>
      </c>
      <c r="D29" s="36">
        <f t="shared" si="0"/>
        <v>0.3</v>
      </c>
      <c r="E29" s="32">
        <f t="shared" si="1"/>
        <v>0.801490514905149</v>
      </c>
      <c r="F29" s="33">
        <f t="shared" si="2"/>
        <v>0.3</v>
      </c>
      <c r="G29" s="27">
        <f t="shared" si="3"/>
        <v>0.501490514905149</v>
      </c>
      <c r="H29" s="34">
        <f t="shared" si="4"/>
        <v>0.7774</v>
      </c>
      <c r="I29" s="35">
        <f t="shared" si="5"/>
        <v>0.0240905149051489</v>
      </c>
      <c r="J29" t="s">
        <v>24</v>
      </c>
    </row>
    <row r="30" spans="1:10">
      <c r="A30" t="s">
        <v>26</v>
      </c>
      <c r="B30" s="30">
        <v>0.835365853658537</v>
      </c>
      <c r="C30">
        <v>7</v>
      </c>
      <c r="D30" s="36">
        <f t="shared" si="0"/>
        <v>0.35</v>
      </c>
      <c r="E30" s="37">
        <f t="shared" si="1"/>
        <v>0.835365853658537</v>
      </c>
      <c r="F30" s="33">
        <f t="shared" si="2"/>
        <v>0.35</v>
      </c>
      <c r="G30" s="27">
        <f t="shared" si="3"/>
        <v>0.485365853658537</v>
      </c>
      <c r="H30" s="34">
        <f t="shared" si="4"/>
        <v>0.7933</v>
      </c>
      <c r="I30" s="35">
        <f t="shared" si="5"/>
        <v>0.042065853658537</v>
      </c>
      <c r="J30" t="s">
        <v>24</v>
      </c>
    </row>
    <row r="31" spans="1:10">
      <c r="A31" t="s">
        <v>27</v>
      </c>
      <c r="B31" s="30">
        <v>0.865514905149052</v>
      </c>
      <c r="C31">
        <v>8</v>
      </c>
      <c r="D31" s="36">
        <f t="shared" si="0"/>
        <v>0.4</v>
      </c>
      <c r="E31" s="37">
        <f t="shared" si="1"/>
        <v>0.865514905149052</v>
      </c>
      <c r="F31" s="33">
        <f t="shared" si="2"/>
        <v>0.4</v>
      </c>
      <c r="G31" s="27">
        <f t="shared" si="3"/>
        <v>0.465514905149052</v>
      </c>
      <c r="H31" s="34">
        <f t="shared" si="4"/>
        <v>0.8092</v>
      </c>
      <c r="I31" s="35">
        <f t="shared" si="5"/>
        <v>0.056314905149052</v>
      </c>
      <c r="J31" t="s">
        <v>24</v>
      </c>
    </row>
    <row r="32" spans="1:10">
      <c r="A32" t="s">
        <v>28</v>
      </c>
      <c r="B32" s="30">
        <v>0.890921409214092</v>
      </c>
      <c r="C32">
        <v>9</v>
      </c>
      <c r="D32" s="36">
        <f t="shared" si="0"/>
        <v>0.45</v>
      </c>
      <c r="E32" s="37">
        <f t="shared" si="1"/>
        <v>0.890921409214092</v>
      </c>
      <c r="F32" s="33">
        <f t="shared" si="2"/>
        <v>0.45</v>
      </c>
      <c r="G32" s="27">
        <f t="shared" si="3"/>
        <v>0.440921409214092</v>
      </c>
      <c r="H32" s="34">
        <f t="shared" si="4"/>
        <v>0.8251</v>
      </c>
      <c r="I32" s="35">
        <f t="shared" si="5"/>
        <v>0.065821409214092</v>
      </c>
      <c r="J32" t="s">
        <v>24</v>
      </c>
    </row>
    <row r="33" spans="1:10">
      <c r="A33" t="s">
        <v>29</v>
      </c>
      <c r="B33" s="30">
        <v>0.912262872628726</v>
      </c>
      <c r="C33">
        <v>10</v>
      </c>
      <c r="D33" s="36">
        <f t="shared" si="0"/>
        <v>0.5</v>
      </c>
      <c r="E33" s="37">
        <f t="shared" si="1"/>
        <v>0.912262872628726</v>
      </c>
      <c r="F33" s="33">
        <f t="shared" si="2"/>
        <v>0.5</v>
      </c>
      <c r="G33" s="27">
        <f t="shared" si="3"/>
        <v>0.412262872628726</v>
      </c>
      <c r="H33" s="34">
        <f t="shared" si="4"/>
        <v>0.841</v>
      </c>
      <c r="I33" s="35">
        <f t="shared" si="5"/>
        <v>0.0712628726287259</v>
      </c>
      <c r="J33" t="s">
        <v>24</v>
      </c>
    </row>
    <row r="34" spans="1:10">
      <c r="A34" t="s">
        <v>31</v>
      </c>
      <c r="B34" s="30">
        <v>0.932249322493225</v>
      </c>
      <c r="C34">
        <v>11</v>
      </c>
      <c r="D34" s="38">
        <f t="shared" si="0"/>
        <v>0.55</v>
      </c>
      <c r="E34" s="37">
        <f t="shared" si="1"/>
        <v>0.932249322493225</v>
      </c>
      <c r="F34" s="33">
        <f t="shared" si="2"/>
        <v>0.55</v>
      </c>
      <c r="G34" s="27">
        <f t="shared" si="3"/>
        <v>0.382249322493225</v>
      </c>
      <c r="H34" s="34">
        <f t="shared" si="4"/>
        <v>0.8569</v>
      </c>
      <c r="I34" s="35">
        <f t="shared" si="5"/>
        <v>0.0753493224932249</v>
      </c>
      <c r="J34" t="s">
        <v>24</v>
      </c>
    </row>
    <row r="35" spans="1:10">
      <c r="A35" t="s">
        <v>32</v>
      </c>
      <c r="B35" s="30">
        <v>0.948170731707317</v>
      </c>
      <c r="C35">
        <v>12</v>
      </c>
      <c r="D35" s="38">
        <f t="shared" si="0"/>
        <v>0.6</v>
      </c>
      <c r="E35" s="37">
        <f t="shared" si="1"/>
        <v>0.948170731707317</v>
      </c>
      <c r="F35" s="33">
        <f t="shared" si="2"/>
        <v>0.6</v>
      </c>
      <c r="G35" s="27">
        <f t="shared" si="3"/>
        <v>0.348170731707317</v>
      </c>
      <c r="H35" s="34">
        <f t="shared" si="4"/>
        <v>0.8728</v>
      </c>
      <c r="I35" s="35">
        <f t="shared" si="5"/>
        <v>0.075370731707317</v>
      </c>
      <c r="J35" t="s">
        <v>24</v>
      </c>
    </row>
    <row r="36" spans="1:10">
      <c r="A36" t="s">
        <v>33</v>
      </c>
      <c r="B36" s="30">
        <v>0.962059620596206</v>
      </c>
      <c r="C36">
        <v>13</v>
      </c>
      <c r="D36" s="38">
        <f t="shared" si="0"/>
        <v>0.65</v>
      </c>
      <c r="E36" s="39">
        <f t="shared" si="1"/>
        <v>0.962059620596206</v>
      </c>
      <c r="F36" s="33">
        <f t="shared" si="2"/>
        <v>0.65</v>
      </c>
      <c r="G36" s="27">
        <f t="shared" si="3"/>
        <v>0.312059620596206</v>
      </c>
      <c r="H36" s="34">
        <f t="shared" si="4"/>
        <v>0.8887</v>
      </c>
      <c r="I36" s="35">
        <f t="shared" si="5"/>
        <v>0.0733596205962059</v>
      </c>
      <c r="J36" t="s">
        <v>30</v>
      </c>
    </row>
    <row r="37" spans="1:10">
      <c r="A37" t="s">
        <v>34</v>
      </c>
      <c r="B37" s="30">
        <v>0.972560975609756</v>
      </c>
      <c r="C37">
        <v>14</v>
      </c>
      <c r="D37" s="38">
        <f t="shared" si="0"/>
        <v>0.7</v>
      </c>
      <c r="E37" s="39">
        <f t="shared" si="1"/>
        <v>0.972560975609756</v>
      </c>
      <c r="F37" s="33">
        <f t="shared" si="2"/>
        <v>0.7</v>
      </c>
      <c r="G37" s="27">
        <f t="shared" si="3"/>
        <v>0.272560975609756</v>
      </c>
      <c r="H37" s="34">
        <f t="shared" si="4"/>
        <v>0.9046</v>
      </c>
      <c r="I37" s="35">
        <f t="shared" si="5"/>
        <v>0.0679609756097559</v>
      </c>
      <c r="J37" t="s">
        <v>30</v>
      </c>
    </row>
    <row r="38" spans="1:10">
      <c r="A38" t="s">
        <v>35</v>
      </c>
      <c r="B38" s="30">
        <v>0.981368563685637</v>
      </c>
      <c r="C38">
        <v>15</v>
      </c>
      <c r="D38" s="38">
        <f t="shared" si="0"/>
        <v>0.75</v>
      </c>
      <c r="E38" s="39">
        <f t="shared" si="1"/>
        <v>0.981368563685637</v>
      </c>
      <c r="F38" s="33">
        <f t="shared" si="2"/>
        <v>0.75</v>
      </c>
      <c r="G38" s="27">
        <f t="shared" si="3"/>
        <v>0.231368563685637</v>
      </c>
      <c r="H38" s="34">
        <f t="shared" si="4"/>
        <v>0.9205</v>
      </c>
      <c r="I38" s="35">
        <f t="shared" si="5"/>
        <v>0.0608685636856369</v>
      </c>
      <c r="J38" t="s">
        <v>30</v>
      </c>
    </row>
    <row r="39" spans="1:10">
      <c r="A39" t="s">
        <v>37</v>
      </c>
      <c r="B39" s="30">
        <v>0.986788617886179</v>
      </c>
      <c r="C39">
        <v>16</v>
      </c>
      <c r="D39" s="38">
        <f t="shared" si="0"/>
        <v>0.8</v>
      </c>
      <c r="E39" s="39">
        <f t="shared" si="1"/>
        <v>0.986788617886179</v>
      </c>
      <c r="F39" s="33">
        <f t="shared" si="2"/>
        <v>0.8</v>
      </c>
      <c r="G39" s="27">
        <f t="shared" si="3"/>
        <v>0.186788617886179</v>
      </c>
      <c r="H39" s="34">
        <f t="shared" si="4"/>
        <v>0.9364</v>
      </c>
      <c r="I39" s="35">
        <f t="shared" si="5"/>
        <v>0.0503886178861789</v>
      </c>
      <c r="J39" t="s">
        <v>30</v>
      </c>
    </row>
    <row r="40" spans="1:10">
      <c r="A40" t="s">
        <v>36</v>
      </c>
      <c r="B40" s="30">
        <v>0.991869918699187</v>
      </c>
      <c r="C40">
        <v>17</v>
      </c>
      <c r="D40" s="38">
        <f t="shared" si="0"/>
        <v>0.85</v>
      </c>
      <c r="E40" s="39">
        <f t="shared" si="1"/>
        <v>0.991869918699187</v>
      </c>
      <c r="F40" s="33">
        <f t="shared" si="2"/>
        <v>0.85</v>
      </c>
      <c r="G40" s="27">
        <f t="shared" si="3"/>
        <v>0.141869918699187</v>
      </c>
      <c r="H40" s="34">
        <f t="shared" si="4"/>
        <v>0.9523</v>
      </c>
      <c r="I40" s="35">
        <f t="shared" si="5"/>
        <v>0.0395699186991869</v>
      </c>
      <c r="J40" t="s">
        <v>30</v>
      </c>
    </row>
    <row r="41" spans="1:10">
      <c r="A41" t="s">
        <v>38</v>
      </c>
      <c r="B41" s="30">
        <v>0.994579945799458</v>
      </c>
      <c r="C41">
        <v>18</v>
      </c>
      <c r="D41" s="38">
        <f t="shared" si="0"/>
        <v>0.9</v>
      </c>
      <c r="E41" s="39">
        <f t="shared" si="1"/>
        <v>0.994579945799458</v>
      </c>
      <c r="F41" s="33">
        <f t="shared" si="2"/>
        <v>0.9</v>
      </c>
      <c r="G41" s="27">
        <f t="shared" si="3"/>
        <v>0.0945799457994579</v>
      </c>
      <c r="H41" s="34">
        <f t="shared" si="4"/>
        <v>0.9682</v>
      </c>
      <c r="I41" s="35">
        <f t="shared" si="5"/>
        <v>0.0263799457994579</v>
      </c>
      <c r="J41" t="s">
        <v>30</v>
      </c>
    </row>
    <row r="42" spans="1:10">
      <c r="A42" t="s">
        <v>40</v>
      </c>
      <c r="B42" s="30">
        <v>0.997289972899729</v>
      </c>
      <c r="C42">
        <v>19</v>
      </c>
      <c r="D42" s="38">
        <f t="shared" si="0"/>
        <v>0.95</v>
      </c>
      <c r="E42" s="39">
        <f t="shared" si="1"/>
        <v>0.997289972899729</v>
      </c>
      <c r="F42" s="33">
        <f t="shared" si="2"/>
        <v>0.95</v>
      </c>
      <c r="G42" s="27">
        <f t="shared" si="3"/>
        <v>0.047289972899729</v>
      </c>
      <c r="H42" s="34">
        <f t="shared" si="4"/>
        <v>0.9841</v>
      </c>
      <c r="I42" s="35">
        <f t="shared" si="5"/>
        <v>0.013189972899729</v>
      </c>
      <c r="J42" t="s">
        <v>30</v>
      </c>
    </row>
    <row r="43" spans="1:10">
      <c r="A43" t="s">
        <v>39</v>
      </c>
      <c r="B43" s="30">
        <v>1</v>
      </c>
      <c r="C43">
        <v>20</v>
      </c>
      <c r="D43" s="38">
        <f t="shared" si="0"/>
        <v>1</v>
      </c>
      <c r="E43" s="39">
        <f t="shared" si="1"/>
        <v>1</v>
      </c>
      <c r="F43" s="33">
        <f t="shared" si="2"/>
        <v>1</v>
      </c>
      <c r="G43" s="27">
        <f t="shared" si="3"/>
        <v>0</v>
      </c>
      <c r="H43" s="34">
        <f t="shared" si="4"/>
        <v>1</v>
      </c>
      <c r="I43" s="35">
        <f t="shared" si="5"/>
        <v>0</v>
      </c>
      <c r="J43" t="s">
        <v>30</v>
      </c>
    </row>
  </sheetData>
  <conditionalFormatting sqref="G23:G43">
    <cfRule type="top10" dxfId="14" priority="2" rank="1"/>
  </conditionalFormatting>
  <conditionalFormatting sqref="I23:I43">
    <cfRule type="top10" dxfId="14" priority="1" rank="1"/>
  </conditionalFormatting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53"/>
  <sheetViews>
    <sheetView zoomScale="66" zoomScaleNormal="66" topLeftCell="A2" workbookViewId="0">
      <selection activeCell="B21" sqref="B21"/>
    </sheetView>
  </sheetViews>
  <sheetFormatPr defaultColWidth="9" defaultRowHeight="14.25" outlineLevelCol="4"/>
  <cols>
    <col min="1" max="1" width="32" customWidth="1"/>
    <col min="2" max="2" width="35.4247787610619" customWidth="1"/>
    <col min="3" max="3" width="16" customWidth="1"/>
    <col min="4" max="4" width="18.283185840708" customWidth="1"/>
    <col min="5" max="6" width="9" customWidth="1"/>
  </cols>
  <sheetData>
    <row r="1" spans="1:5">
      <c r="A1" s="20" t="s">
        <v>9</v>
      </c>
      <c r="B1" s="20" t="s">
        <v>44</v>
      </c>
      <c r="C1" s="20" t="s">
        <v>45</v>
      </c>
      <c r="D1" s="20" t="s">
        <v>46</v>
      </c>
      <c r="E1" s="21"/>
    </row>
    <row r="2" spans="1:5">
      <c r="A2" t="s">
        <v>21</v>
      </c>
      <c r="B2" t="s">
        <v>47</v>
      </c>
      <c r="C2" s="22">
        <v>46023</v>
      </c>
      <c r="D2" s="23">
        <v>37003</v>
      </c>
    </row>
    <row r="3" spans="1:5">
      <c r="A3" t="s">
        <v>26</v>
      </c>
      <c r="B3" t="s">
        <v>48</v>
      </c>
      <c r="C3" s="22">
        <v>46023</v>
      </c>
      <c r="D3" s="23">
        <v>20731</v>
      </c>
    </row>
    <row r="4" spans="1:5">
      <c r="A4" t="s">
        <v>31</v>
      </c>
      <c r="B4" t="s">
        <v>49</v>
      </c>
      <c r="C4" s="22">
        <v>46023</v>
      </c>
      <c r="D4" s="23">
        <v>14854</v>
      </c>
    </row>
    <row r="5" spans="1:5">
      <c r="A5" t="s">
        <v>32</v>
      </c>
      <c r="B5" t="s">
        <v>50</v>
      </c>
      <c r="C5" s="22">
        <v>46023</v>
      </c>
      <c r="D5" s="23">
        <v>31491</v>
      </c>
    </row>
    <row r="6" spans="1:5">
      <c r="A6" t="s">
        <v>34</v>
      </c>
      <c r="B6" t="s">
        <v>51</v>
      </c>
      <c r="C6" s="22">
        <v>46023</v>
      </c>
      <c r="D6" s="23">
        <v>7639</v>
      </c>
    </row>
    <row r="7" spans="1:5">
      <c r="A7" t="s">
        <v>22</v>
      </c>
      <c r="B7" t="s">
        <v>52</v>
      </c>
      <c r="C7" s="22">
        <v>46023</v>
      </c>
      <c r="D7" s="23">
        <v>5699</v>
      </c>
    </row>
    <row r="8" spans="1:5">
      <c r="A8" t="s">
        <v>20</v>
      </c>
      <c r="B8" t="s">
        <v>53</v>
      </c>
      <c r="C8" s="22">
        <v>46023</v>
      </c>
      <c r="D8" s="23">
        <v>29072</v>
      </c>
    </row>
    <row r="9" spans="1:5">
      <c r="A9" t="s">
        <v>18</v>
      </c>
      <c r="B9" t="s">
        <v>54</v>
      </c>
      <c r="C9" s="22">
        <v>46023</v>
      </c>
      <c r="D9" s="23">
        <v>41314</v>
      </c>
    </row>
    <row r="10" spans="1:5">
      <c r="A10" t="s">
        <v>18</v>
      </c>
      <c r="B10" t="s">
        <v>55</v>
      </c>
      <c r="C10" s="22">
        <v>46023</v>
      </c>
      <c r="D10" s="23">
        <v>47734</v>
      </c>
    </row>
    <row r="11" spans="1:5">
      <c r="A11" t="s">
        <v>18</v>
      </c>
      <c r="B11" t="s">
        <v>56</v>
      </c>
      <c r="C11" s="22">
        <v>46023</v>
      </c>
      <c r="D11" s="23">
        <v>50358</v>
      </c>
    </row>
    <row r="12" spans="1:5">
      <c r="A12" t="s">
        <v>18</v>
      </c>
      <c r="B12" t="s">
        <v>57</v>
      </c>
      <c r="C12" s="22">
        <v>46023</v>
      </c>
      <c r="D12" s="23">
        <v>33577</v>
      </c>
    </row>
    <row r="13" spans="1:5">
      <c r="A13" t="s">
        <v>18</v>
      </c>
      <c r="B13" t="s">
        <v>58</v>
      </c>
      <c r="C13" s="22">
        <v>46023</v>
      </c>
      <c r="D13" s="23">
        <v>50091</v>
      </c>
    </row>
    <row r="14" spans="1:5">
      <c r="A14" t="s">
        <v>21</v>
      </c>
      <c r="B14" t="s">
        <v>59</v>
      </c>
      <c r="C14" s="22">
        <v>46024</v>
      </c>
      <c r="D14" s="23">
        <v>39985</v>
      </c>
    </row>
    <row r="15" spans="1:5">
      <c r="A15" t="s">
        <v>31</v>
      </c>
      <c r="B15" t="s">
        <v>60</v>
      </c>
      <c r="C15" s="22">
        <v>46024</v>
      </c>
      <c r="D15" s="23">
        <v>13379</v>
      </c>
    </row>
    <row r="16" spans="1:5">
      <c r="A16" t="s">
        <v>25</v>
      </c>
      <c r="B16" t="s">
        <v>61</v>
      </c>
      <c r="C16" s="22">
        <v>46024</v>
      </c>
      <c r="D16" s="23">
        <v>6790</v>
      </c>
    </row>
    <row r="17" spans="1:4">
      <c r="A17" t="s">
        <v>23</v>
      </c>
      <c r="B17" t="s">
        <v>62</v>
      </c>
      <c r="C17" s="22">
        <v>46024</v>
      </c>
      <c r="D17" s="23">
        <v>22384</v>
      </c>
    </row>
    <row r="18" spans="1:4">
      <c r="A18" t="s">
        <v>23</v>
      </c>
      <c r="B18" t="s">
        <v>63</v>
      </c>
      <c r="C18" s="22">
        <v>46024</v>
      </c>
      <c r="D18" s="23">
        <v>23117</v>
      </c>
    </row>
    <row r="19" spans="1:4">
      <c r="A19" t="s">
        <v>20</v>
      </c>
      <c r="B19" t="s">
        <v>64</v>
      </c>
      <c r="C19" s="22">
        <v>46024</v>
      </c>
      <c r="D19" s="23">
        <v>38679</v>
      </c>
    </row>
    <row r="20" spans="1:4">
      <c r="A20" t="s">
        <v>20</v>
      </c>
      <c r="B20" t="s">
        <v>65</v>
      </c>
      <c r="C20" s="22">
        <v>46024</v>
      </c>
      <c r="D20" s="23">
        <v>44229</v>
      </c>
    </row>
    <row r="21" spans="1:4">
      <c r="A21" t="s">
        <v>18</v>
      </c>
      <c r="B21" t="s">
        <v>66</v>
      </c>
      <c r="C21" s="22">
        <v>46024</v>
      </c>
      <c r="D21" s="23">
        <v>24734</v>
      </c>
    </row>
    <row r="22" spans="1:4">
      <c r="A22" t="s">
        <v>18</v>
      </c>
      <c r="B22" t="s">
        <v>67</v>
      </c>
      <c r="C22" s="22">
        <v>46024</v>
      </c>
      <c r="D22" s="23">
        <v>43976</v>
      </c>
    </row>
    <row r="23" spans="1:4">
      <c r="A23" t="s">
        <v>18</v>
      </c>
      <c r="B23" t="s">
        <v>68</v>
      </c>
      <c r="C23" s="22">
        <v>46024</v>
      </c>
      <c r="D23" s="23">
        <v>49603</v>
      </c>
    </row>
    <row r="24" spans="1:4">
      <c r="A24" t="s">
        <v>18</v>
      </c>
      <c r="B24" t="s">
        <v>69</v>
      </c>
      <c r="C24" s="22">
        <v>46024</v>
      </c>
      <c r="D24" s="23">
        <v>33895</v>
      </c>
    </row>
    <row r="25" spans="1:4">
      <c r="A25" t="s">
        <v>18</v>
      </c>
      <c r="B25" t="s">
        <v>70</v>
      </c>
      <c r="C25" s="22">
        <v>46024</v>
      </c>
      <c r="D25" s="23">
        <v>46943</v>
      </c>
    </row>
    <row r="26" spans="1:4">
      <c r="A26" t="s">
        <v>18</v>
      </c>
      <c r="B26" t="s">
        <v>71</v>
      </c>
      <c r="C26" s="22">
        <v>46024</v>
      </c>
      <c r="D26" s="23">
        <v>40930</v>
      </c>
    </row>
    <row r="27" spans="1:4">
      <c r="A27" t="s">
        <v>18</v>
      </c>
      <c r="B27" t="s">
        <v>72</v>
      </c>
      <c r="C27" s="22">
        <v>46024</v>
      </c>
      <c r="D27" s="23">
        <v>50394</v>
      </c>
    </row>
    <row r="28" spans="1:4">
      <c r="A28" t="s">
        <v>37</v>
      </c>
      <c r="B28" t="s">
        <v>73</v>
      </c>
      <c r="C28" s="22">
        <v>46025</v>
      </c>
      <c r="D28" s="23">
        <v>13057</v>
      </c>
    </row>
    <row r="29" spans="1:4">
      <c r="A29" t="s">
        <v>39</v>
      </c>
      <c r="B29" t="s">
        <v>74</v>
      </c>
      <c r="C29" s="22">
        <v>46025</v>
      </c>
      <c r="D29" s="23">
        <v>22696</v>
      </c>
    </row>
    <row r="30" spans="1:4">
      <c r="A30" t="s">
        <v>21</v>
      </c>
      <c r="B30" t="s">
        <v>75</v>
      </c>
      <c r="C30" s="22">
        <v>46025</v>
      </c>
      <c r="D30" s="23">
        <v>19490</v>
      </c>
    </row>
    <row r="31" spans="1:4">
      <c r="A31" t="s">
        <v>25</v>
      </c>
      <c r="B31" t="s">
        <v>76</v>
      </c>
      <c r="C31" s="22">
        <v>46025</v>
      </c>
      <c r="D31" s="23">
        <v>22701</v>
      </c>
    </row>
    <row r="32" spans="1:4">
      <c r="A32" t="s">
        <v>23</v>
      </c>
      <c r="B32" t="s">
        <v>77</v>
      </c>
      <c r="C32" s="22">
        <v>46025</v>
      </c>
      <c r="D32" s="23">
        <v>21677</v>
      </c>
    </row>
    <row r="33" spans="1:4">
      <c r="A33" t="s">
        <v>23</v>
      </c>
      <c r="B33" t="s">
        <v>78</v>
      </c>
      <c r="C33" s="22">
        <v>46025</v>
      </c>
      <c r="D33" s="23">
        <v>46832</v>
      </c>
    </row>
    <row r="34" spans="1:4">
      <c r="A34" t="s">
        <v>29</v>
      </c>
      <c r="B34" t="s">
        <v>79</v>
      </c>
      <c r="C34" s="22">
        <v>46025</v>
      </c>
      <c r="D34" s="23">
        <v>15835</v>
      </c>
    </row>
    <row r="35" spans="1:4">
      <c r="A35" t="s">
        <v>22</v>
      </c>
      <c r="B35" t="s">
        <v>80</v>
      </c>
      <c r="C35" s="22">
        <v>46025</v>
      </c>
      <c r="D35" s="23">
        <v>25833</v>
      </c>
    </row>
    <row r="36" spans="1:4">
      <c r="A36" t="s">
        <v>22</v>
      </c>
      <c r="B36" t="s">
        <v>81</v>
      </c>
      <c r="C36" s="22">
        <v>46025</v>
      </c>
      <c r="D36" s="23">
        <v>34908</v>
      </c>
    </row>
    <row r="37" spans="1:4">
      <c r="A37" t="s">
        <v>20</v>
      </c>
      <c r="B37" t="s">
        <v>82</v>
      </c>
      <c r="C37" s="22">
        <v>46025</v>
      </c>
      <c r="D37" s="23">
        <v>35367</v>
      </c>
    </row>
    <row r="38" spans="1:4">
      <c r="A38" t="s">
        <v>20</v>
      </c>
      <c r="B38" t="s">
        <v>83</v>
      </c>
      <c r="C38" s="22">
        <v>46025</v>
      </c>
      <c r="D38" s="23">
        <v>33782</v>
      </c>
    </row>
    <row r="39" spans="1:4">
      <c r="A39" t="s">
        <v>18</v>
      </c>
      <c r="B39" t="s">
        <v>59</v>
      </c>
      <c r="C39" s="22">
        <v>46025</v>
      </c>
      <c r="D39" s="23">
        <v>40482</v>
      </c>
    </row>
    <row r="40" spans="1:4">
      <c r="A40" t="s">
        <v>18</v>
      </c>
      <c r="B40" t="s">
        <v>84</v>
      </c>
      <c r="C40" s="22">
        <v>46025</v>
      </c>
      <c r="D40" s="23">
        <v>40351</v>
      </c>
    </row>
    <row r="41" spans="1:4">
      <c r="A41" t="s">
        <v>18</v>
      </c>
      <c r="B41" t="s">
        <v>85</v>
      </c>
      <c r="C41" s="22">
        <v>46025</v>
      </c>
      <c r="D41" s="23">
        <v>53128</v>
      </c>
    </row>
    <row r="42" spans="1:4">
      <c r="A42" t="s">
        <v>18</v>
      </c>
      <c r="B42" t="s">
        <v>86</v>
      </c>
      <c r="C42" s="22">
        <v>46025</v>
      </c>
      <c r="D42" s="23">
        <v>30596</v>
      </c>
    </row>
    <row r="43" spans="1:4">
      <c r="A43" t="s">
        <v>21</v>
      </c>
      <c r="B43" t="s">
        <v>87</v>
      </c>
      <c r="C43" s="22">
        <v>46026</v>
      </c>
      <c r="D43" s="23">
        <v>29549</v>
      </c>
    </row>
    <row r="44" spans="1:4">
      <c r="A44" t="s">
        <v>40</v>
      </c>
      <c r="B44" t="s">
        <v>88</v>
      </c>
      <c r="C44" s="22">
        <v>46026</v>
      </c>
      <c r="D44" s="23">
        <v>9765</v>
      </c>
    </row>
    <row r="45" spans="1:4">
      <c r="A45" t="s">
        <v>20</v>
      </c>
      <c r="B45" t="s">
        <v>89</v>
      </c>
      <c r="C45" s="22">
        <v>46026</v>
      </c>
      <c r="D45" s="23">
        <v>34937</v>
      </c>
    </row>
    <row r="46" spans="1:4">
      <c r="A46" t="s">
        <v>20</v>
      </c>
      <c r="B46" t="s">
        <v>90</v>
      </c>
      <c r="C46" s="22">
        <v>46026</v>
      </c>
      <c r="D46" s="23">
        <v>20947</v>
      </c>
    </row>
    <row r="47" spans="1:4">
      <c r="A47" t="s">
        <v>20</v>
      </c>
      <c r="B47" t="s">
        <v>91</v>
      </c>
      <c r="C47" s="22">
        <v>46026</v>
      </c>
      <c r="D47" s="23">
        <v>31538</v>
      </c>
    </row>
    <row r="48" spans="1:4">
      <c r="A48" t="s">
        <v>18</v>
      </c>
      <c r="B48" t="s">
        <v>92</v>
      </c>
      <c r="C48" s="22">
        <v>46026</v>
      </c>
      <c r="D48" s="23">
        <v>51073</v>
      </c>
    </row>
    <row r="49" spans="1:4">
      <c r="A49" t="s">
        <v>18</v>
      </c>
      <c r="B49" t="s">
        <v>93</v>
      </c>
      <c r="C49" s="22">
        <v>46026</v>
      </c>
      <c r="D49" s="23">
        <v>39224</v>
      </c>
    </row>
    <row r="50" spans="1:4">
      <c r="A50" t="s">
        <v>18</v>
      </c>
      <c r="B50" t="s">
        <v>93</v>
      </c>
      <c r="C50" s="22">
        <v>46026</v>
      </c>
      <c r="D50" s="23">
        <v>38384</v>
      </c>
    </row>
    <row r="51" spans="1:4">
      <c r="A51" t="s">
        <v>18</v>
      </c>
      <c r="B51" t="s">
        <v>94</v>
      </c>
      <c r="C51" s="22">
        <v>46026</v>
      </c>
      <c r="D51" s="23">
        <v>52383</v>
      </c>
    </row>
    <row r="52" spans="1:4">
      <c r="A52" t="s">
        <v>18</v>
      </c>
      <c r="B52" t="s">
        <v>95</v>
      </c>
      <c r="C52" s="22">
        <v>46026</v>
      </c>
      <c r="D52" s="23">
        <v>32026</v>
      </c>
    </row>
    <row r="53" spans="1:4">
      <c r="A53" t="s">
        <v>18</v>
      </c>
      <c r="B53" t="s">
        <v>96</v>
      </c>
      <c r="C53" s="22">
        <v>46026</v>
      </c>
      <c r="D53" s="23">
        <v>53138</v>
      </c>
    </row>
    <row r="54" spans="1:4">
      <c r="A54" t="s">
        <v>18</v>
      </c>
      <c r="B54" t="s">
        <v>97</v>
      </c>
      <c r="C54" s="22">
        <v>46026</v>
      </c>
      <c r="D54" s="23">
        <v>43948</v>
      </c>
    </row>
    <row r="55" spans="1:4">
      <c r="A55" t="s">
        <v>21</v>
      </c>
      <c r="B55" t="s">
        <v>98</v>
      </c>
      <c r="C55" s="22">
        <v>46027</v>
      </c>
      <c r="D55" s="23">
        <v>38838</v>
      </c>
    </row>
    <row r="56" spans="1:4">
      <c r="A56" t="s">
        <v>26</v>
      </c>
      <c r="B56" t="s">
        <v>99</v>
      </c>
      <c r="C56" s="22">
        <v>46027</v>
      </c>
      <c r="D56" s="23">
        <v>28892</v>
      </c>
    </row>
    <row r="57" spans="1:4">
      <c r="A57" t="s">
        <v>27</v>
      </c>
      <c r="B57" t="s">
        <v>100</v>
      </c>
      <c r="C57" s="22">
        <v>46027</v>
      </c>
      <c r="D57" s="23">
        <v>15705</v>
      </c>
    </row>
    <row r="58" spans="1:4">
      <c r="A58" t="s">
        <v>36</v>
      </c>
      <c r="B58" t="s">
        <v>101</v>
      </c>
      <c r="C58" s="22">
        <v>46027</v>
      </c>
      <c r="D58" s="23">
        <v>28110</v>
      </c>
    </row>
    <row r="59" spans="1:4">
      <c r="A59" t="s">
        <v>20</v>
      </c>
      <c r="B59" t="s">
        <v>102</v>
      </c>
      <c r="C59" s="22">
        <v>46027</v>
      </c>
      <c r="D59" s="23">
        <v>22340</v>
      </c>
    </row>
    <row r="60" spans="1:4">
      <c r="A60" t="s">
        <v>20</v>
      </c>
      <c r="B60" t="s">
        <v>103</v>
      </c>
      <c r="C60" s="22">
        <v>46027</v>
      </c>
      <c r="D60" s="23">
        <v>35007</v>
      </c>
    </row>
    <row r="61" spans="1:4">
      <c r="A61" t="s">
        <v>20</v>
      </c>
      <c r="B61" t="s">
        <v>104</v>
      </c>
      <c r="C61" s="22">
        <v>46027</v>
      </c>
      <c r="D61" s="23">
        <v>35778</v>
      </c>
    </row>
    <row r="62" spans="1:4">
      <c r="A62" t="s">
        <v>18</v>
      </c>
      <c r="B62" t="s">
        <v>105</v>
      </c>
      <c r="C62" s="22">
        <v>46027</v>
      </c>
      <c r="D62" s="23">
        <v>41252</v>
      </c>
    </row>
    <row r="63" spans="1:4">
      <c r="A63" t="s">
        <v>18</v>
      </c>
      <c r="B63" t="s">
        <v>106</v>
      </c>
      <c r="C63" s="22">
        <v>46027</v>
      </c>
      <c r="D63" s="23">
        <v>36875</v>
      </c>
    </row>
    <row r="64" spans="1:4">
      <c r="A64" t="s">
        <v>18</v>
      </c>
      <c r="B64" t="s">
        <v>58</v>
      </c>
      <c r="C64" s="22">
        <v>46027</v>
      </c>
      <c r="D64" s="23">
        <v>42038</v>
      </c>
    </row>
    <row r="65" spans="1:4">
      <c r="A65" t="s">
        <v>18</v>
      </c>
      <c r="B65" t="s">
        <v>107</v>
      </c>
      <c r="C65" s="22">
        <v>46027</v>
      </c>
      <c r="D65" s="23">
        <v>36207</v>
      </c>
    </row>
    <row r="66" spans="1:4">
      <c r="A66" t="s">
        <v>18</v>
      </c>
      <c r="B66" t="s">
        <v>108</v>
      </c>
      <c r="C66" s="22">
        <v>46027</v>
      </c>
      <c r="D66" s="23">
        <v>32440</v>
      </c>
    </row>
    <row r="67" spans="1:4">
      <c r="A67" t="s">
        <v>28</v>
      </c>
      <c r="B67" t="s">
        <v>109</v>
      </c>
      <c r="C67" s="22">
        <v>46028</v>
      </c>
      <c r="D67" s="23">
        <v>17831</v>
      </c>
    </row>
    <row r="68" spans="1:4">
      <c r="A68" t="s">
        <v>21</v>
      </c>
      <c r="B68" t="s">
        <v>110</v>
      </c>
      <c r="C68" s="22">
        <v>46028</v>
      </c>
      <c r="D68" s="23">
        <v>30883</v>
      </c>
    </row>
    <row r="69" spans="1:4">
      <c r="A69" t="s">
        <v>21</v>
      </c>
      <c r="B69" t="s">
        <v>80</v>
      </c>
      <c r="C69" s="22">
        <v>46028</v>
      </c>
      <c r="D69" s="23">
        <v>30018</v>
      </c>
    </row>
    <row r="70" spans="1:4">
      <c r="A70" t="s">
        <v>31</v>
      </c>
      <c r="B70" t="s">
        <v>111</v>
      </c>
      <c r="C70" s="22">
        <v>46028</v>
      </c>
      <c r="D70" s="23">
        <v>9483</v>
      </c>
    </row>
    <row r="71" spans="1:4">
      <c r="A71" t="s">
        <v>25</v>
      </c>
      <c r="B71" t="s">
        <v>112</v>
      </c>
      <c r="C71" s="22">
        <v>46028</v>
      </c>
      <c r="D71" s="23">
        <v>5516</v>
      </c>
    </row>
    <row r="72" spans="1:4">
      <c r="A72" t="s">
        <v>25</v>
      </c>
      <c r="B72" t="s">
        <v>113</v>
      </c>
      <c r="C72" s="22">
        <v>46028</v>
      </c>
      <c r="D72" s="23">
        <v>18655</v>
      </c>
    </row>
    <row r="73" spans="1:4">
      <c r="A73" t="s">
        <v>23</v>
      </c>
      <c r="B73" t="s">
        <v>63</v>
      </c>
      <c r="C73" s="22">
        <v>46028</v>
      </c>
      <c r="D73" s="23">
        <v>19624</v>
      </c>
    </row>
    <row r="74" spans="1:4">
      <c r="A74" t="s">
        <v>23</v>
      </c>
      <c r="B74" t="s">
        <v>114</v>
      </c>
      <c r="C74" s="22">
        <v>46028</v>
      </c>
      <c r="D74" s="23">
        <v>20831</v>
      </c>
    </row>
    <row r="75" spans="1:4">
      <c r="A75" t="s">
        <v>22</v>
      </c>
      <c r="B75" t="s">
        <v>115</v>
      </c>
      <c r="C75" s="22">
        <v>46028</v>
      </c>
      <c r="D75" s="23">
        <v>37861</v>
      </c>
    </row>
    <row r="76" spans="1:4">
      <c r="A76" t="s">
        <v>20</v>
      </c>
      <c r="B76" t="s">
        <v>102</v>
      </c>
      <c r="C76" s="22">
        <v>46028</v>
      </c>
      <c r="D76" s="23">
        <v>34947</v>
      </c>
    </row>
    <row r="77" spans="1:4">
      <c r="A77" t="s">
        <v>20</v>
      </c>
      <c r="B77" t="s">
        <v>116</v>
      </c>
      <c r="C77" s="22">
        <v>46028</v>
      </c>
      <c r="D77" s="23">
        <v>40098</v>
      </c>
    </row>
    <row r="78" spans="1:4">
      <c r="A78" t="s">
        <v>18</v>
      </c>
      <c r="B78" t="s">
        <v>66</v>
      </c>
      <c r="C78" s="22">
        <v>46028</v>
      </c>
      <c r="D78" s="23">
        <v>32490</v>
      </c>
    </row>
    <row r="79" spans="1:4">
      <c r="A79" t="s">
        <v>18</v>
      </c>
      <c r="B79" t="s">
        <v>117</v>
      </c>
      <c r="C79" s="22">
        <v>46028</v>
      </c>
      <c r="D79" s="23">
        <v>36522</v>
      </c>
    </row>
    <row r="80" spans="1:4">
      <c r="A80" t="s">
        <v>18</v>
      </c>
      <c r="B80" t="s">
        <v>118</v>
      </c>
      <c r="C80" s="22">
        <v>46028</v>
      </c>
      <c r="D80" s="23">
        <v>49231</v>
      </c>
    </row>
    <row r="81" spans="1:4">
      <c r="A81" t="s">
        <v>18</v>
      </c>
      <c r="B81" t="s">
        <v>72</v>
      </c>
      <c r="C81" s="22">
        <v>46028</v>
      </c>
      <c r="D81" s="23">
        <v>49785</v>
      </c>
    </row>
    <row r="82" spans="1:4">
      <c r="A82" t="s">
        <v>21</v>
      </c>
      <c r="B82" t="s">
        <v>119</v>
      </c>
      <c r="C82" s="22">
        <v>46029</v>
      </c>
      <c r="D82" s="23">
        <v>35610</v>
      </c>
    </row>
    <row r="83" spans="1:4">
      <c r="A83" t="s">
        <v>25</v>
      </c>
      <c r="B83" t="s">
        <v>120</v>
      </c>
      <c r="C83" s="22">
        <v>46029</v>
      </c>
      <c r="D83" s="23">
        <v>18707</v>
      </c>
    </row>
    <row r="84" spans="1:4">
      <c r="A84" t="s">
        <v>36</v>
      </c>
      <c r="B84" t="s">
        <v>121</v>
      </c>
      <c r="C84" s="22">
        <v>46029</v>
      </c>
      <c r="D84" s="23">
        <v>16292</v>
      </c>
    </row>
    <row r="85" spans="1:4">
      <c r="A85" t="s">
        <v>35</v>
      </c>
      <c r="B85" t="s">
        <v>122</v>
      </c>
      <c r="C85" s="22">
        <v>46029</v>
      </c>
      <c r="D85" s="23">
        <v>13663</v>
      </c>
    </row>
    <row r="86" spans="1:4">
      <c r="A86" t="s">
        <v>35</v>
      </c>
      <c r="B86" t="s">
        <v>123</v>
      </c>
      <c r="C86" s="22">
        <v>46029</v>
      </c>
      <c r="D86" s="23">
        <v>13940</v>
      </c>
    </row>
    <row r="87" spans="1:4">
      <c r="A87" t="s">
        <v>29</v>
      </c>
      <c r="B87" t="s">
        <v>124</v>
      </c>
      <c r="C87" s="22">
        <v>46029</v>
      </c>
      <c r="D87" s="23">
        <v>24476</v>
      </c>
    </row>
    <row r="88" spans="1:4">
      <c r="A88" t="s">
        <v>22</v>
      </c>
      <c r="B88" t="s">
        <v>125</v>
      </c>
      <c r="C88" s="22">
        <v>46029</v>
      </c>
      <c r="D88" s="23">
        <v>35800</v>
      </c>
    </row>
    <row r="89" spans="1:4">
      <c r="A89" t="s">
        <v>20</v>
      </c>
      <c r="B89" t="s">
        <v>126</v>
      </c>
      <c r="C89" s="22">
        <v>46029</v>
      </c>
      <c r="D89" s="23">
        <v>24874</v>
      </c>
    </row>
    <row r="90" spans="1:4">
      <c r="A90" t="s">
        <v>20</v>
      </c>
      <c r="B90" t="s">
        <v>127</v>
      </c>
      <c r="C90" s="22">
        <v>46029</v>
      </c>
      <c r="D90" s="23">
        <v>40073</v>
      </c>
    </row>
    <row r="91" spans="1:4">
      <c r="A91" t="s">
        <v>20</v>
      </c>
      <c r="B91" t="s">
        <v>128</v>
      </c>
      <c r="C91" s="22">
        <v>46029</v>
      </c>
      <c r="D91" s="23">
        <v>42771</v>
      </c>
    </row>
    <row r="92" spans="1:4">
      <c r="A92" t="s">
        <v>18</v>
      </c>
      <c r="B92" t="s">
        <v>67</v>
      </c>
      <c r="C92" s="22">
        <v>46029</v>
      </c>
      <c r="D92" s="23">
        <v>40683</v>
      </c>
    </row>
    <row r="93" spans="1:4">
      <c r="A93" t="s">
        <v>18</v>
      </c>
      <c r="B93" t="s">
        <v>117</v>
      </c>
      <c r="C93" s="22">
        <v>46029</v>
      </c>
      <c r="D93" s="23">
        <v>38922</v>
      </c>
    </row>
    <row r="94" spans="1:4">
      <c r="A94" t="s">
        <v>18</v>
      </c>
      <c r="B94" t="s">
        <v>129</v>
      </c>
      <c r="C94" s="22">
        <v>46029</v>
      </c>
      <c r="D94" s="23">
        <v>37895</v>
      </c>
    </row>
    <row r="95" spans="1:4">
      <c r="A95" t="s">
        <v>21</v>
      </c>
      <c r="B95" t="s">
        <v>130</v>
      </c>
      <c r="C95" s="22">
        <v>46030</v>
      </c>
      <c r="D95" s="23">
        <v>34984</v>
      </c>
    </row>
    <row r="96" spans="1:4">
      <c r="A96" t="s">
        <v>21</v>
      </c>
      <c r="B96" t="s">
        <v>131</v>
      </c>
      <c r="C96" s="22">
        <v>46030</v>
      </c>
      <c r="D96" s="23">
        <v>44767</v>
      </c>
    </row>
    <row r="97" spans="1:4">
      <c r="A97" t="s">
        <v>25</v>
      </c>
      <c r="B97" t="s">
        <v>132</v>
      </c>
      <c r="C97" s="22">
        <v>46030</v>
      </c>
      <c r="D97" s="23">
        <v>20788</v>
      </c>
    </row>
    <row r="98" spans="1:4">
      <c r="A98" t="s">
        <v>22</v>
      </c>
      <c r="B98" t="s">
        <v>133</v>
      </c>
      <c r="C98" s="22">
        <v>46030</v>
      </c>
      <c r="D98" s="23">
        <v>27092</v>
      </c>
    </row>
    <row r="99" spans="1:4">
      <c r="A99" t="s">
        <v>22</v>
      </c>
      <c r="B99" t="s">
        <v>134</v>
      </c>
      <c r="C99" s="22">
        <v>46030</v>
      </c>
      <c r="D99" s="23">
        <v>24594</v>
      </c>
    </row>
    <row r="100" spans="1:4">
      <c r="A100" t="s">
        <v>22</v>
      </c>
      <c r="B100" t="s">
        <v>135</v>
      </c>
      <c r="C100" s="22">
        <v>46030</v>
      </c>
      <c r="D100" s="23">
        <v>37884</v>
      </c>
    </row>
    <row r="101" spans="1:4">
      <c r="A101" t="s">
        <v>20</v>
      </c>
      <c r="B101" t="s">
        <v>136</v>
      </c>
      <c r="C101" s="22">
        <v>46030</v>
      </c>
      <c r="D101" s="23">
        <v>34835</v>
      </c>
    </row>
    <row r="102" spans="1:4">
      <c r="A102" t="s">
        <v>20</v>
      </c>
      <c r="B102" t="s">
        <v>137</v>
      </c>
      <c r="C102" s="22">
        <v>46030</v>
      </c>
      <c r="D102" s="23">
        <v>28500</v>
      </c>
    </row>
    <row r="103" spans="1:4">
      <c r="A103" t="s">
        <v>20</v>
      </c>
      <c r="B103" t="s">
        <v>138</v>
      </c>
      <c r="C103" s="22">
        <v>46030</v>
      </c>
      <c r="D103" s="23">
        <v>43551</v>
      </c>
    </row>
    <row r="104" spans="1:4">
      <c r="A104" t="s">
        <v>18</v>
      </c>
      <c r="B104" t="s">
        <v>84</v>
      </c>
      <c r="C104" s="22">
        <v>46030</v>
      </c>
      <c r="D104" s="23">
        <v>42890</v>
      </c>
    </row>
    <row r="105" spans="1:4">
      <c r="A105" t="s">
        <v>18</v>
      </c>
      <c r="B105" t="s">
        <v>139</v>
      </c>
      <c r="C105" s="22">
        <v>46030</v>
      </c>
      <c r="D105" s="23">
        <v>27253</v>
      </c>
    </row>
    <row r="106" spans="1:4">
      <c r="A106" t="s">
        <v>21</v>
      </c>
      <c r="B106" t="s">
        <v>84</v>
      </c>
      <c r="C106" s="22">
        <v>46031</v>
      </c>
      <c r="D106" s="23">
        <v>42943</v>
      </c>
    </row>
    <row r="107" spans="1:4">
      <c r="A107" t="s">
        <v>21</v>
      </c>
      <c r="B107" t="s">
        <v>140</v>
      </c>
      <c r="C107" s="22">
        <v>46031</v>
      </c>
      <c r="D107" s="23">
        <v>34632</v>
      </c>
    </row>
    <row r="108" spans="1:4">
      <c r="A108" t="s">
        <v>32</v>
      </c>
      <c r="B108" t="s">
        <v>141</v>
      </c>
      <c r="C108" s="22">
        <v>46031</v>
      </c>
      <c r="D108" s="23">
        <v>15468</v>
      </c>
    </row>
    <row r="109" spans="1:4">
      <c r="A109" t="s">
        <v>23</v>
      </c>
      <c r="B109" t="s">
        <v>62</v>
      </c>
      <c r="C109" s="22">
        <v>46031</v>
      </c>
      <c r="D109" s="23">
        <v>19987</v>
      </c>
    </row>
    <row r="110" spans="1:4">
      <c r="A110" t="s">
        <v>29</v>
      </c>
      <c r="B110" t="s">
        <v>142</v>
      </c>
      <c r="C110" s="22">
        <v>46031</v>
      </c>
      <c r="D110" s="23">
        <v>13702</v>
      </c>
    </row>
    <row r="111" spans="1:4">
      <c r="A111" t="s">
        <v>22</v>
      </c>
      <c r="B111" t="s">
        <v>143</v>
      </c>
      <c r="C111" s="22">
        <v>46031</v>
      </c>
      <c r="D111" s="23">
        <v>29281</v>
      </c>
    </row>
    <row r="112" spans="1:4">
      <c r="A112" t="s">
        <v>20</v>
      </c>
      <c r="B112" t="s">
        <v>144</v>
      </c>
      <c r="C112" s="22">
        <v>46031</v>
      </c>
      <c r="D112" s="23">
        <v>35778</v>
      </c>
    </row>
    <row r="113" spans="1:4">
      <c r="A113" t="s">
        <v>20</v>
      </c>
      <c r="B113" t="s">
        <v>89</v>
      </c>
      <c r="C113" s="22">
        <v>46031</v>
      </c>
      <c r="D113" s="23">
        <v>31616</v>
      </c>
    </row>
    <row r="114" spans="1:4">
      <c r="A114" t="s">
        <v>20</v>
      </c>
      <c r="B114" t="s">
        <v>145</v>
      </c>
      <c r="C114" s="22">
        <v>46031</v>
      </c>
      <c r="D114" s="23">
        <v>29917</v>
      </c>
    </row>
    <row r="115" spans="1:4">
      <c r="A115" t="s">
        <v>18</v>
      </c>
      <c r="B115" t="s">
        <v>54</v>
      </c>
      <c r="C115" s="22">
        <v>46031</v>
      </c>
      <c r="D115" s="23">
        <v>41462</v>
      </c>
    </row>
    <row r="116" spans="1:4">
      <c r="A116" t="s">
        <v>18</v>
      </c>
      <c r="B116" t="s">
        <v>84</v>
      </c>
      <c r="C116" s="22">
        <v>46031</v>
      </c>
      <c r="D116" s="23">
        <v>48881</v>
      </c>
    </row>
    <row r="117" spans="1:4">
      <c r="A117" t="s">
        <v>18</v>
      </c>
      <c r="B117" t="s">
        <v>57</v>
      </c>
      <c r="C117" s="22">
        <v>46031</v>
      </c>
      <c r="D117" s="23">
        <v>32386</v>
      </c>
    </row>
    <row r="118" spans="1:4">
      <c r="A118" t="s">
        <v>18</v>
      </c>
      <c r="B118" t="s">
        <v>139</v>
      </c>
      <c r="C118" s="22">
        <v>46031</v>
      </c>
      <c r="D118" s="23">
        <v>36939</v>
      </c>
    </row>
    <row r="119" spans="1:4">
      <c r="A119" t="s">
        <v>21</v>
      </c>
      <c r="B119" t="s">
        <v>146</v>
      </c>
      <c r="C119" s="22">
        <v>46032</v>
      </c>
      <c r="D119" s="23">
        <v>11944</v>
      </c>
    </row>
    <row r="120" spans="1:4">
      <c r="A120" t="s">
        <v>21</v>
      </c>
      <c r="B120" t="s">
        <v>147</v>
      </c>
      <c r="C120" s="22">
        <v>46032</v>
      </c>
      <c r="D120" s="23">
        <v>10036</v>
      </c>
    </row>
    <row r="121" spans="1:4">
      <c r="A121" t="s">
        <v>21</v>
      </c>
      <c r="B121" t="s">
        <v>148</v>
      </c>
      <c r="C121" s="22">
        <v>46032</v>
      </c>
      <c r="D121" s="23">
        <v>36817</v>
      </c>
    </row>
    <row r="122" spans="1:4">
      <c r="A122" t="s">
        <v>33</v>
      </c>
      <c r="B122" t="s">
        <v>149</v>
      </c>
      <c r="C122" s="22">
        <v>46032</v>
      </c>
      <c r="D122" s="23">
        <v>13538</v>
      </c>
    </row>
    <row r="123" spans="1:4">
      <c r="A123" t="s">
        <v>26</v>
      </c>
      <c r="B123" t="s">
        <v>150</v>
      </c>
      <c r="C123" s="22">
        <v>46032</v>
      </c>
      <c r="D123" s="23">
        <v>33468</v>
      </c>
    </row>
    <row r="124" spans="1:4">
      <c r="A124" t="s">
        <v>31</v>
      </c>
      <c r="B124" t="s">
        <v>151</v>
      </c>
      <c r="C124" s="22">
        <v>46032</v>
      </c>
      <c r="D124" s="23">
        <v>16209</v>
      </c>
    </row>
    <row r="125" spans="1:4">
      <c r="A125" t="s">
        <v>27</v>
      </c>
      <c r="B125" t="s">
        <v>152</v>
      </c>
      <c r="C125" s="22">
        <v>46032</v>
      </c>
      <c r="D125" s="23">
        <v>17661</v>
      </c>
    </row>
    <row r="126" spans="1:4">
      <c r="A126" t="s">
        <v>22</v>
      </c>
      <c r="B126" t="s">
        <v>153</v>
      </c>
      <c r="C126" s="22">
        <v>46032</v>
      </c>
      <c r="D126" s="23">
        <v>17215</v>
      </c>
    </row>
    <row r="127" spans="1:4">
      <c r="A127" t="s">
        <v>20</v>
      </c>
      <c r="B127" t="s">
        <v>144</v>
      </c>
      <c r="C127" s="22">
        <v>46032</v>
      </c>
      <c r="D127" s="23">
        <v>41187</v>
      </c>
    </row>
    <row r="128" spans="1:4">
      <c r="A128" t="s">
        <v>20</v>
      </c>
      <c r="B128" t="s">
        <v>91</v>
      </c>
      <c r="C128" s="22">
        <v>46032</v>
      </c>
      <c r="D128" s="23">
        <v>36340</v>
      </c>
    </row>
    <row r="129" spans="1:4">
      <c r="A129" t="s">
        <v>18</v>
      </c>
      <c r="B129" t="s">
        <v>105</v>
      </c>
      <c r="C129" s="22">
        <v>46032</v>
      </c>
      <c r="D129" s="23">
        <v>47720</v>
      </c>
    </row>
    <row r="130" spans="1:4">
      <c r="A130" t="s">
        <v>18</v>
      </c>
      <c r="B130" t="s">
        <v>106</v>
      </c>
      <c r="C130" s="22">
        <v>46032</v>
      </c>
      <c r="D130" s="23">
        <v>38952</v>
      </c>
    </row>
    <row r="131" spans="1:4">
      <c r="A131" t="s">
        <v>18</v>
      </c>
      <c r="B131" t="s">
        <v>94</v>
      </c>
      <c r="C131" s="22">
        <v>46032</v>
      </c>
      <c r="D131" s="23">
        <v>43878</v>
      </c>
    </row>
    <row r="132" spans="1:4">
      <c r="A132" t="s">
        <v>18</v>
      </c>
      <c r="B132" t="s">
        <v>108</v>
      </c>
      <c r="C132" s="22">
        <v>46032</v>
      </c>
      <c r="D132" s="23">
        <v>25749</v>
      </c>
    </row>
    <row r="133" spans="1:4">
      <c r="A133" t="s">
        <v>21</v>
      </c>
      <c r="B133" t="s">
        <v>110</v>
      </c>
      <c r="C133" s="22">
        <v>46033</v>
      </c>
      <c r="D133" s="23">
        <v>29441</v>
      </c>
    </row>
    <row r="134" spans="1:4">
      <c r="A134" t="s">
        <v>33</v>
      </c>
      <c r="B134" t="s">
        <v>154</v>
      </c>
      <c r="C134" s="22">
        <v>46033</v>
      </c>
      <c r="D134" s="23">
        <v>11034</v>
      </c>
    </row>
    <row r="135" spans="1:4">
      <c r="A135" t="s">
        <v>27</v>
      </c>
      <c r="B135" t="s">
        <v>155</v>
      </c>
      <c r="C135" s="22">
        <v>46033</v>
      </c>
      <c r="D135" s="23">
        <v>16751</v>
      </c>
    </row>
    <row r="136" spans="1:4">
      <c r="A136" t="s">
        <v>32</v>
      </c>
      <c r="B136" t="s">
        <v>156</v>
      </c>
      <c r="C136" s="22">
        <v>46033</v>
      </c>
      <c r="D136" s="23">
        <v>13780</v>
      </c>
    </row>
    <row r="137" spans="1:4">
      <c r="A137" t="s">
        <v>38</v>
      </c>
      <c r="B137" t="s">
        <v>157</v>
      </c>
      <c r="C137" s="22">
        <v>46033</v>
      </c>
      <c r="D137" s="23">
        <v>14563</v>
      </c>
    </row>
    <row r="138" spans="1:4">
      <c r="A138" t="s">
        <v>20</v>
      </c>
      <c r="B138" t="s">
        <v>158</v>
      </c>
      <c r="C138" s="22">
        <v>46033</v>
      </c>
      <c r="D138" s="23">
        <v>36413</v>
      </c>
    </row>
    <row r="139" spans="1:4">
      <c r="A139" t="s">
        <v>18</v>
      </c>
      <c r="B139" t="s">
        <v>53</v>
      </c>
      <c r="C139" s="22">
        <v>46033</v>
      </c>
      <c r="D139" s="23">
        <v>39297</v>
      </c>
    </row>
    <row r="140" spans="1:4">
      <c r="A140" t="s">
        <v>18</v>
      </c>
      <c r="B140" t="s">
        <v>129</v>
      </c>
      <c r="C140" s="22">
        <v>46033</v>
      </c>
      <c r="D140" s="23">
        <v>32006</v>
      </c>
    </row>
    <row r="141" spans="1:4">
      <c r="A141" t="s">
        <v>18</v>
      </c>
      <c r="B141" t="s">
        <v>159</v>
      </c>
      <c r="C141" s="22">
        <v>46033</v>
      </c>
      <c r="D141" s="23">
        <v>38602</v>
      </c>
    </row>
    <row r="142" spans="1:4">
      <c r="A142" t="s">
        <v>18</v>
      </c>
      <c r="B142" t="s">
        <v>128</v>
      </c>
      <c r="C142" s="22">
        <v>46033</v>
      </c>
      <c r="D142" s="23">
        <v>42688</v>
      </c>
    </row>
    <row r="143" spans="1:4">
      <c r="A143" t="s">
        <v>21</v>
      </c>
      <c r="B143" t="s">
        <v>107</v>
      </c>
      <c r="C143" s="22">
        <v>46034</v>
      </c>
      <c r="D143" s="23">
        <v>29566</v>
      </c>
    </row>
    <row r="144" spans="1:4">
      <c r="A144" t="s">
        <v>29</v>
      </c>
      <c r="B144" t="s">
        <v>160</v>
      </c>
      <c r="C144" s="22">
        <v>46034</v>
      </c>
      <c r="D144" s="23">
        <v>11366</v>
      </c>
    </row>
    <row r="145" spans="1:4">
      <c r="A145" t="s">
        <v>20</v>
      </c>
      <c r="B145" t="s">
        <v>145</v>
      </c>
      <c r="C145" s="22">
        <v>46034</v>
      </c>
      <c r="D145" s="23">
        <v>36663</v>
      </c>
    </row>
    <row r="146" spans="1:4">
      <c r="A146" t="s">
        <v>20</v>
      </c>
      <c r="B146" t="s">
        <v>161</v>
      </c>
      <c r="C146" s="22">
        <v>46034</v>
      </c>
      <c r="D146" s="23">
        <v>19634</v>
      </c>
    </row>
    <row r="147" spans="1:4">
      <c r="A147" t="s">
        <v>18</v>
      </c>
      <c r="B147" t="s">
        <v>162</v>
      </c>
      <c r="C147" s="22">
        <v>46034</v>
      </c>
      <c r="D147" s="23">
        <v>37188</v>
      </c>
    </row>
    <row r="148" spans="1:4">
      <c r="A148" t="s">
        <v>18</v>
      </c>
      <c r="B148" t="s">
        <v>58</v>
      </c>
      <c r="C148" s="22">
        <v>46034</v>
      </c>
      <c r="D148" s="23">
        <v>54926</v>
      </c>
    </row>
    <row r="149" spans="1:4">
      <c r="A149" t="s">
        <v>18</v>
      </c>
      <c r="B149" t="s">
        <v>129</v>
      </c>
      <c r="C149" s="22">
        <v>46034</v>
      </c>
      <c r="D149" s="23">
        <v>35496</v>
      </c>
    </row>
    <row r="150" spans="1:4">
      <c r="A150" t="s">
        <v>18</v>
      </c>
      <c r="B150" t="s">
        <v>86</v>
      </c>
      <c r="C150" s="22">
        <v>46034</v>
      </c>
      <c r="D150" s="23">
        <v>32031</v>
      </c>
    </row>
    <row r="151" spans="1:4">
      <c r="A151" t="s">
        <v>21</v>
      </c>
      <c r="B151" t="s">
        <v>163</v>
      </c>
      <c r="C151" s="22">
        <v>46035</v>
      </c>
      <c r="D151" s="23">
        <v>30889</v>
      </c>
    </row>
    <row r="152" spans="1:4">
      <c r="A152" t="s">
        <v>21</v>
      </c>
      <c r="B152" t="s">
        <v>164</v>
      </c>
      <c r="C152" s="22">
        <v>46035</v>
      </c>
      <c r="D152" s="23">
        <v>39996</v>
      </c>
    </row>
    <row r="153" spans="1:4">
      <c r="A153" t="s">
        <v>21</v>
      </c>
      <c r="B153" t="s">
        <v>128</v>
      </c>
      <c r="C153" s="22">
        <v>46035</v>
      </c>
      <c r="D153" s="23">
        <v>41737</v>
      </c>
    </row>
    <row r="154" spans="1:4">
      <c r="A154" t="s">
        <v>21</v>
      </c>
      <c r="B154" t="s">
        <v>165</v>
      </c>
      <c r="C154" s="22">
        <v>46035</v>
      </c>
      <c r="D154" s="23">
        <v>45992</v>
      </c>
    </row>
    <row r="155" spans="1:4">
      <c r="A155" t="s">
        <v>27</v>
      </c>
      <c r="B155" t="s">
        <v>166</v>
      </c>
      <c r="C155" s="22">
        <v>46035</v>
      </c>
      <c r="D155" s="23">
        <v>14866</v>
      </c>
    </row>
    <row r="156" spans="1:4">
      <c r="A156" t="s">
        <v>22</v>
      </c>
      <c r="B156" t="s">
        <v>167</v>
      </c>
      <c r="C156" s="22">
        <v>46035</v>
      </c>
      <c r="D156" s="23">
        <v>24264</v>
      </c>
    </row>
    <row r="157" spans="1:4">
      <c r="A157" t="s">
        <v>20</v>
      </c>
      <c r="B157" t="s">
        <v>85</v>
      </c>
      <c r="C157" s="22">
        <v>46035</v>
      </c>
      <c r="D157" s="23">
        <v>46087</v>
      </c>
    </row>
    <row r="158" spans="1:4">
      <c r="A158" t="s">
        <v>20</v>
      </c>
      <c r="B158" t="s">
        <v>168</v>
      </c>
      <c r="C158" s="22">
        <v>46035</v>
      </c>
      <c r="D158" s="23">
        <v>30960</v>
      </c>
    </row>
    <row r="159" spans="1:4">
      <c r="A159" t="s">
        <v>20</v>
      </c>
      <c r="B159" t="s">
        <v>169</v>
      </c>
      <c r="C159" s="22">
        <v>46035</v>
      </c>
      <c r="D159" s="23">
        <v>40031</v>
      </c>
    </row>
    <row r="160" spans="1:4">
      <c r="A160" t="s">
        <v>20</v>
      </c>
      <c r="B160" t="s">
        <v>170</v>
      </c>
      <c r="C160" s="22">
        <v>46035</v>
      </c>
      <c r="D160" s="23">
        <v>31036</v>
      </c>
    </row>
    <row r="161" spans="1:4">
      <c r="A161" t="s">
        <v>20</v>
      </c>
      <c r="B161" t="s">
        <v>104</v>
      </c>
      <c r="C161" s="22">
        <v>46035</v>
      </c>
      <c r="D161" s="23">
        <v>30175</v>
      </c>
    </row>
    <row r="162" spans="1:4">
      <c r="A162" t="s">
        <v>18</v>
      </c>
      <c r="B162" t="s">
        <v>171</v>
      </c>
      <c r="C162" s="22">
        <v>46035</v>
      </c>
      <c r="D162" s="23">
        <v>44293</v>
      </c>
    </row>
    <row r="163" spans="1:4">
      <c r="A163" t="s">
        <v>18</v>
      </c>
      <c r="B163" t="s">
        <v>96</v>
      </c>
      <c r="C163" s="22">
        <v>46035</v>
      </c>
      <c r="D163" s="23">
        <v>37460</v>
      </c>
    </row>
    <row r="164" spans="1:4">
      <c r="A164" t="s">
        <v>18</v>
      </c>
      <c r="B164" t="s">
        <v>172</v>
      </c>
      <c r="C164" s="22">
        <v>46035</v>
      </c>
      <c r="D164" s="23">
        <v>47462</v>
      </c>
    </row>
    <row r="165" spans="1:4">
      <c r="A165" t="s">
        <v>18</v>
      </c>
      <c r="B165" t="s">
        <v>53</v>
      </c>
      <c r="C165" s="22">
        <v>46035</v>
      </c>
      <c r="D165" s="23">
        <v>36888</v>
      </c>
    </row>
    <row r="166" spans="1:4">
      <c r="A166" t="s">
        <v>18</v>
      </c>
      <c r="B166" t="s">
        <v>173</v>
      </c>
      <c r="C166" s="22">
        <v>46035</v>
      </c>
      <c r="D166" s="23">
        <v>33356</v>
      </c>
    </row>
    <row r="167" spans="1:4">
      <c r="A167" t="s">
        <v>18</v>
      </c>
      <c r="B167" t="s">
        <v>107</v>
      </c>
      <c r="C167" s="22">
        <v>46035</v>
      </c>
      <c r="D167" s="23">
        <v>38311</v>
      </c>
    </row>
    <row r="168" spans="1:4">
      <c r="A168" t="s">
        <v>18</v>
      </c>
      <c r="B168" t="s">
        <v>107</v>
      </c>
      <c r="C168" s="22">
        <v>46035</v>
      </c>
      <c r="D168" s="23">
        <v>30117</v>
      </c>
    </row>
    <row r="169" spans="1:4">
      <c r="A169" t="s">
        <v>21</v>
      </c>
      <c r="B169" t="s">
        <v>174</v>
      </c>
      <c r="C169" s="22">
        <v>46036</v>
      </c>
      <c r="D169" s="23">
        <v>29669</v>
      </c>
    </row>
    <row r="170" spans="1:4">
      <c r="A170" t="s">
        <v>21</v>
      </c>
      <c r="B170" t="s">
        <v>162</v>
      </c>
      <c r="C170" s="22">
        <v>46036</v>
      </c>
      <c r="D170" s="23">
        <v>36211</v>
      </c>
    </row>
    <row r="171" spans="1:4">
      <c r="A171" t="s">
        <v>26</v>
      </c>
      <c r="B171" t="s">
        <v>175</v>
      </c>
      <c r="C171" s="22">
        <v>46036</v>
      </c>
      <c r="D171" s="23">
        <v>15339</v>
      </c>
    </row>
    <row r="172" spans="1:4">
      <c r="A172" t="s">
        <v>31</v>
      </c>
      <c r="B172" t="s">
        <v>176</v>
      </c>
      <c r="C172" s="22">
        <v>46036</v>
      </c>
      <c r="D172" s="23">
        <v>12836</v>
      </c>
    </row>
    <row r="173" spans="1:4">
      <c r="A173" t="s">
        <v>27</v>
      </c>
      <c r="B173" t="s">
        <v>177</v>
      </c>
      <c r="C173" s="22">
        <v>46036</v>
      </c>
      <c r="D173" s="23">
        <v>5200</v>
      </c>
    </row>
    <row r="174" spans="1:4">
      <c r="A174" t="s">
        <v>32</v>
      </c>
      <c r="B174" t="s">
        <v>178</v>
      </c>
      <c r="C174" s="22">
        <v>46036</v>
      </c>
      <c r="D174" s="23">
        <v>9708</v>
      </c>
    </row>
    <row r="175" spans="1:4">
      <c r="A175" t="s">
        <v>32</v>
      </c>
      <c r="B175" t="s">
        <v>179</v>
      </c>
      <c r="C175" s="22">
        <v>46036</v>
      </c>
      <c r="D175" s="23">
        <v>15691</v>
      </c>
    </row>
    <row r="176" spans="1:4">
      <c r="A176" t="s">
        <v>25</v>
      </c>
      <c r="B176" t="s">
        <v>180</v>
      </c>
      <c r="C176" s="22">
        <v>46036</v>
      </c>
      <c r="D176" s="23">
        <v>39117</v>
      </c>
    </row>
    <row r="177" spans="1:4">
      <c r="A177" t="s">
        <v>25</v>
      </c>
      <c r="B177" t="s">
        <v>181</v>
      </c>
      <c r="C177" s="22">
        <v>46036</v>
      </c>
      <c r="D177" s="23">
        <v>19117</v>
      </c>
    </row>
    <row r="178" spans="1:4">
      <c r="A178" t="s">
        <v>23</v>
      </c>
      <c r="B178" t="s">
        <v>182</v>
      </c>
      <c r="C178" s="22">
        <v>46036</v>
      </c>
      <c r="D178" s="23">
        <v>24440</v>
      </c>
    </row>
    <row r="179" spans="1:4">
      <c r="A179" t="s">
        <v>22</v>
      </c>
      <c r="B179" t="s">
        <v>183</v>
      </c>
      <c r="C179" s="22">
        <v>46036</v>
      </c>
      <c r="D179" s="23">
        <v>8611</v>
      </c>
    </row>
    <row r="180" spans="1:4">
      <c r="A180" t="s">
        <v>22</v>
      </c>
      <c r="B180" t="s">
        <v>184</v>
      </c>
      <c r="C180" s="22">
        <v>46036</v>
      </c>
      <c r="D180" s="23">
        <v>28452</v>
      </c>
    </row>
    <row r="181" spans="1:4">
      <c r="A181" t="s">
        <v>18</v>
      </c>
      <c r="B181" t="s">
        <v>66</v>
      </c>
      <c r="C181" s="22">
        <v>46036</v>
      </c>
      <c r="D181" s="23">
        <v>28746</v>
      </c>
    </row>
    <row r="182" spans="1:4">
      <c r="A182" t="s">
        <v>18</v>
      </c>
      <c r="B182" t="s">
        <v>171</v>
      </c>
      <c r="C182" s="22">
        <v>46036</v>
      </c>
      <c r="D182" s="23">
        <v>36787</v>
      </c>
    </row>
    <row r="183" spans="1:4">
      <c r="A183" t="s">
        <v>18</v>
      </c>
      <c r="B183" t="s">
        <v>139</v>
      </c>
      <c r="C183" s="22">
        <v>46036</v>
      </c>
      <c r="D183" s="23">
        <v>37318</v>
      </c>
    </row>
    <row r="184" spans="1:4">
      <c r="A184" t="s">
        <v>18</v>
      </c>
      <c r="B184" t="s">
        <v>173</v>
      </c>
      <c r="C184" s="22">
        <v>46036</v>
      </c>
      <c r="D184" s="23">
        <v>29917</v>
      </c>
    </row>
    <row r="185" spans="1:4">
      <c r="A185" t="s">
        <v>28</v>
      </c>
      <c r="B185" t="s">
        <v>185</v>
      </c>
      <c r="C185" s="22">
        <v>46037</v>
      </c>
      <c r="D185" s="23">
        <v>5466</v>
      </c>
    </row>
    <row r="186" spans="1:4">
      <c r="A186" t="s">
        <v>34</v>
      </c>
      <c r="B186" t="s">
        <v>186</v>
      </c>
      <c r="C186" s="22">
        <v>46037</v>
      </c>
      <c r="D186" s="23">
        <v>14949</v>
      </c>
    </row>
    <row r="187" spans="1:4">
      <c r="A187" t="s">
        <v>23</v>
      </c>
      <c r="B187" t="s">
        <v>187</v>
      </c>
      <c r="C187" s="22">
        <v>46037</v>
      </c>
      <c r="D187" s="23">
        <v>21651</v>
      </c>
    </row>
    <row r="188" spans="1:4">
      <c r="A188" t="s">
        <v>22</v>
      </c>
      <c r="B188" t="s">
        <v>188</v>
      </c>
      <c r="C188" s="22">
        <v>46037</v>
      </c>
      <c r="D188" s="23">
        <v>30265</v>
      </c>
    </row>
    <row r="189" spans="1:4">
      <c r="A189" t="s">
        <v>20</v>
      </c>
      <c r="B189" t="s">
        <v>189</v>
      </c>
      <c r="C189" s="22">
        <v>46037</v>
      </c>
      <c r="D189" s="23">
        <v>28353</v>
      </c>
    </row>
    <row r="190" spans="1:4">
      <c r="A190" t="s">
        <v>20</v>
      </c>
      <c r="B190" t="s">
        <v>102</v>
      </c>
      <c r="C190" s="22">
        <v>46037</v>
      </c>
      <c r="D190" s="23">
        <v>26211</v>
      </c>
    </row>
    <row r="191" spans="1:4">
      <c r="A191" t="s">
        <v>20</v>
      </c>
      <c r="B191" t="s">
        <v>190</v>
      </c>
      <c r="C191" s="22">
        <v>46037</v>
      </c>
      <c r="D191" s="23">
        <v>46165</v>
      </c>
    </row>
    <row r="192" spans="1:4">
      <c r="A192" t="s">
        <v>20</v>
      </c>
      <c r="B192" t="s">
        <v>145</v>
      </c>
      <c r="C192" s="22">
        <v>46037</v>
      </c>
      <c r="D192" s="23">
        <v>34457</v>
      </c>
    </row>
    <row r="193" spans="1:4">
      <c r="A193" t="s">
        <v>20</v>
      </c>
      <c r="B193" t="s">
        <v>191</v>
      </c>
      <c r="C193" s="22">
        <v>46037</v>
      </c>
      <c r="D193" s="23">
        <v>59095</v>
      </c>
    </row>
    <row r="194" spans="1:4">
      <c r="A194" t="s">
        <v>20</v>
      </c>
      <c r="B194" t="s">
        <v>83</v>
      </c>
      <c r="C194" s="22">
        <v>46037</v>
      </c>
      <c r="D194" s="23">
        <v>32815</v>
      </c>
    </row>
    <row r="195" spans="1:4">
      <c r="A195" t="s">
        <v>18</v>
      </c>
      <c r="B195" t="s">
        <v>96</v>
      </c>
      <c r="C195" s="22">
        <v>46037</v>
      </c>
      <c r="D195" s="23">
        <v>45762</v>
      </c>
    </row>
    <row r="196" spans="1:4">
      <c r="A196" t="s">
        <v>18</v>
      </c>
      <c r="B196" t="s">
        <v>68</v>
      </c>
      <c r="C196" s="22">
        <v>46037</v>
      </c>
      <c r="D196" s="23">
        <v>41111</v>
      </c>
    </row>
    <row r="197" spans="1:4">
      <c r="A197" t="s">
        <v>18</v>
      </c>
      <c r="B197" t="s">
        <v>192</v>
      </c>
      <c r="C197" s="22">
        <v>46037</v>
      </c>
      <c r="D197" s="23">
        <v>37214</v>
      </c>
    </row>
    <row r="198" spans="1:4">
      <c r="A198" t="s">
        <v>18</v>
      </c>
      <c r="B198" t="s">
        <v>86</v>
      </c>
      <c r="C198" s="22">
        <v>46037</v>
      </c>
      <c r="D198" s="23">
        <v>47820</v>
      </c>
    </row>
    <row r="199" spans="1:4">
      <c r="A199" t="s">
        <v>18</v>
      </c>
      <c r="B199" t="s">
        <v>72</v>
      </c>
      <c r="C199" s="22">
        <v>46037</v>
      </c>
      <c r="D199" s="23">
        <v>48229</v>
      </c>
    </row>
    <row r="200" spans="1:4">
      <c r="A200" t="s">
        <v>21</v>
      </c>
      <c r="B200" t="s">
        <v>67</v>
      </c>
      <c r="C200" s="22">
        <v>46038</v>
      </c>
      <c r="D200" s="23">
        <v>41572</v>
      </c>
    </row>
    <row r="201" spans="1:4">
      <c r="A201" t="s">
        <v>31</v>
      </c>
      <c r="B201" t="s">
        <v>193</v>
      </c>
      <c r="C201" s="22">
        <v>46038</v>
      </c>
      <c r="D201" s="23">
        <v>13953</v>
      </c>
    </row>
    <row r="202" spans="1:4">
      <c r="A202" t="s">
        <v>27</v>
      </c>
      <c r="B202" t="s">
        <v>194</v>
      </c>
      <c r="C202" s="22">
        <v>46038</v>
      </c>
      <c r="D202" s="23">
        <v>16185</v>
      </c>
    </row>
    <row r="203" spans="1:4">
      <c r="A203" t="s">
        <v>23</v>
      </c>
      <c r="B203" t="s">
        <v>195</v>
      </c>
      <c r="C203" s="22">
        <v>46038</v>
      </c>
      <c r="D203" s="23">
        <v>5904</v>
      </c>
    </row>
    <row r="204" spans="1:4">
      <c r="A204" t="s">
        <v>35</v>
      </c>
      <c r="B204" t="s">
        <v>196</v>
      </c>
      <c r="C204" s="22">
        <v>46038</v>
      </c>
      <c r="D204" s="23">
        <v>14087</v>
      </c>
    </row>
    <row r="205" spans="1:4">
      <c r="A205" t="s">
        <v>20</v>
      </c>
      <c r="B205" t="s">
        <v>197</v>
      </c>
      <c r="C205" s="22">
        <v>46038</v>
      </c>
      <c r="D205" s="23">
        <v>47213</v>
      </c>
    </row>
    <row r="206" spans="1:4">
      <c r="A206" t="s">
        <v>20</v>
      </c>
      <c r="B206" t="s">
        <v>104</v>
      </c>
      <c r="C206" s="22">
        <v>46038</v>
      </c>
      <c r="D206" s="23">
        <v>38003</v>
      </c>
    </row>
    <row r="207" spans="1:4">
      <c r="A207" t="s">
        <v>20</v>
      </c>
      <c r="B207" t="s">
        <v>104</v>
      </c>
      <c r="C207" s="22">
        <v>46038</v>
      </c>
      <c r="D207" s="23">
        <v>30375</v>
      </c>
    </row>
    <row r="208" spans="1:4">
      <c r="A208" t="s">
        <v>18</v>
      </c>
      <c r="B208" t="s">
        <v>95</v>
      </c>
      <c r="C208" s="22">
        <v>46038</v>
      </c>
      <c r="D208" s="23">
        <v>43694</v>
      </c>
    </row>
    <row r="209" spans="1:4">
      <c r="A209" t="s">
        <v>18</v>
      </c>
      <c r="B209" t="s">
        <v>129</v>
      </c>
      <c r="C209" s="22">
        <v>46038</v>
      </c>
      <c r="D209" s="23">
        <v>48550</v>
      </c>
    </row>
    <row r="210" spans="1:4">
      <c r="A210" t="s">
        <v>18</v>
      </c>
      <c r="B210" t="s">
        <v>159</v>
      </c>
      <c r="C210" s="22">
        <v>46038</v>
      </c>
      <c r="D210" s="23">
        <v>44703</v>
      </c>
    </row>
    <row r="211" spans="1:4">
      <c r="A211" t="s">
        <v>28</v>
      </c>
      <c r="B211" t="s">
        <v>198</v>
      </c>
      <c r="C211" s="22">
        <v>46039</v>
      </c>
      <c r="D211" s="23">
        <v>30908</v>
      </c>
    </row>
    <row r="212" spans="1:4">
      <c r="A212" t="s">
        <v>21</v>
      </c>
      <c r="B212" t="s">
        <v>170</v>
      </c>
      <c r="C212" s="22">
        <v>46039</v>
      </c>
      <c r="D212" s="23">
        <v>41797</v>
      </c>
    </row>
    <row r="213" spans="1:4">
      <c r="A213" t="s">
        <v>20</v>
      </c>
      <c r="B213" t="s">
        <v>199</v>
      </c>
      <c r="C213" s="22">
        <v>46039</v>
      </c>
      <c r="D213" s="23">
        <v>53227</v>
      </c>
    </row>
    <row r="214" spans="1:4">
      <c r="A214" t="s">
        <v>18</v>
      </c>
      <c r="B214" t="s">
        <v>105</v>
      </c>
      <c r="C214" s="22">
        <v>46039</v>
      </c>
      <c r="D214" s="23">
        <v>40721</v>
      </c>
    </row>
    <row r="215" spans="1:4">
      <c r="A215" t="s">
        <v>18</v>
      </c>
      <c r="B215" t="s">
        <v>55</v>
      </c>
      <c r="C215" s="22">
        <v>46039</v>
      </c>
      <c r="D215" s="23">
        <v>38690</v>
      </c>
    </row>
    <row r="216" spans="1:4">
      <c r="A216" t="s">
        <v>18</v>
      </c>
      <c r="B216" t="s">
        <v>200</v>
      </c>
      <c r="C216" s="22">
        <v>46039</v>
      </c>
      <c r="D216" s="23">
        <v>35466</v>
      </c>
    </row>
    <row r="217" spans="1:4">
      <c r="A217" t="s">
        <v>18</v>
      </c>
      <c r="B217" t="s">
        <v>56</v>
      </c>
      <c r="C217" s="22">
        <v>46039</v>
      </c>
      <c r="D217" s="23">
        <v>38895</v>
      </c>
    </row>
    <row r="218" spans="1:4">
      <c r="A218" t="s">
        <v>18</v>
      </c>
      <c r="B218" t="s">
        <v>192</v>
      </c>
      <c r="C218" s="22">
        <v>46039</v>
      </c>
      <c r="D218" s="23">
        <v>49766</v>
      </c>
    </row>
    <row r="219" spans="1:4">
      <c r="A219" t="s">
        <v>28</v>
      </c>
      <c r="B219" t="s">
        <v>201</v>
      </c>
      <c r="C219" s="22">
        <v>46040</v>
      </c>
      <c r="D219" s="23">
        <v>15335</v>
      </c>
    </row>
    <row r="220" spans="1:4">
      <c r="A220" t="s">
        <v>28</v>
      </c>
      <c r="B220" t="s">
        <v>202</v>
      </c>
      <c r="C220" s="22">
        <v>46040</v>
      </c>
      <c r="D220" s="23">
        <v>31161</v>
      </c>
    </row>
    <row r="221" spans="1:4">
      <c r="A221" t="s">
        <v>21</v>
      </c>
      <c r="B221" t="s">
        <v>174</v>
      </c>
      <c r="C221" s="22">
        <v>46040</v>
      </c>
      <c r="D221" s="23">
        <v>25686</v>
      </c>
    </row>
    <row r="222" spans="1:4">
      <c r="A222" t="s">
        <v>26</v>
      </c>
      <c r="B222" t="s">
        <v>203</v>
      </c>
      <c r="C222" s="22">
        <v>46040</v>
      </c>
      <c r="D222" s="23">
        <v>17488</v>
      </c>
    </row>
    <row r="223" spans="1:4">
      <c r="A223" t="s">
        <v>23</v>
      </c>
      <c r="B223" t="s">
        <v>204</v>
      </c>
      <c r="C223" s="22">
        <v>46040</v>
      </c>
      <c r="D223" s="23">
        <v>36137</v>
      </c>
    </row>
    <row r="224" spans="1:4">
      <c r="A224" t="s">
        <v>29</v>
      </c>
      <c r="B224" t="s">
        <v>205</v>
      </c>
      <c r="C224" s="22">
        <v>46040</v>
      </c>
      <c r="D224" s="23">
        <v>27049</v>
      </c>
    </row>
    <row r="225" spans="1:4">
      <c r="A225" t="s">
        <v>22</v>
      </c>
      <c r="B225" t="s">
        <v>206</v>
      </c>
      <c r="C225" s="22">
        <v>46040</v>
      </c>
      <c r="D225" s="23">
        <v>26411</v>
      </c>
    </row>
    <row r="226" spans="1:4">
      <c r="A226" t="s">
        <v>20</v>
      </c>
      <c r="B226" t="s">
        <v>207</v>
      </c>
      <c r="C226" s="22">
        <v>46040</v>
      </c>
      <c r="D226" s="23">
        <v>40404</v>
      </c>
    </row>
    <row r="227" spans="1:4">
      <c r="A227" t="s">
        <v>20</v>
      </c>
      <c r="B227" t="s">
        <v>82</v>
      </c>
      <c r="C227" s="22">
        <v>46040</v>
      </c>
      <c r="D227" s="23">
        <v>37010</v>
      </c>
    </row>
    <row r="228" spans="1:4">
      <c r="A228" t="s">
        <v>18</v>
      </c>
      <c r="B228" t="s">
        <v>200</v>
      </c>
      <c r="C228" s="22">
        <v>46040</v>
      </c>
      <c r="D228" s="23">
        <v>29439</v>
      </c>
    </row>
    <row r="229" spans="1:4">
      <c r="A229" t="s">
        <v>18</v>
      </c>
      <c r="B229" t="s">
        <v>67</v>
      </c>
      <c r="C229" s="22">
        <v>46040</v>
      </c>
      <c r="D229" s="23">
        <v>37594</v>
      </c>
    </row>
    <row r="230" spans="1:4">
      <c r="A230" t="s">
        <v>18</v>
      </c>
      <c r="B230" t="s">
        <v>69</v>
      </c>
      <c r="C230" s="22">
        <v>46040</v>
      </c>
      <c r="D230" s="23">
        <v>32043</v>
      </c>
    </row>
    <row r="231" spans="1:4">
      <c r="A231" t="s">
        <v>18</v>
      </c>
      <c r="B231" t="s">
        <v>57</v>
      </c>
      <c r="C231" s="22">
        <v>46040</v>
      </c>
      <c r="D231" s="23">
        <v>39112</v>
      </c>
    </row>
    <row r="232" spans="1:4">
      <c r="A232" t="s">
        <v>18</v>
      </c>
      <c r="B232" t="s">
        <v>208</v>
      </c>
      <c r="C232" s="22">
        <v>46040</v>
      </c>
      <c r="D232" s="23">
        <v>55801</v>
      </c>
    </row>
    <row r="233" spans="1:4">
      <c r="A233" t="s">
        <v>18</v>
      </c>
      <c r="B233" t="s">
        <v>129</v>
      </c>
      <c r="C233" s="22">
        <v>46040</v>
      </c>
      <c r="D233" s="23">
        <v>30346</v>
      </c>
    </row>
    <row r="234" spans="1:4">
      <c r="A234" t="s">
        <v>18</v>
      </c>
      <c r="B234" t="s">
        <v>86</v>
      </c>
      <c r="C234" s="22">
        <v>46040</v>
      </c>
      <c r="D234" s="23">
        <v>39394</v>
      </c>
    </row>
    <row r="235" spans="1:4">
      <c r="A235" t="s">
        <v>21</v>
      </c>
      <c r="B235" t="s">
        <v>209</v>
      </c>
      <c r="C235" s="22">
        <v>46041</v>
      </c>
      <c r="D235" s="23">
        <v>35814</v>
      </c>
    </row>
    <row r="236" spans="1:4">
      <c r="A236" t="s">
        <v>21</v>
      </c>
      <c r="B236" t="s">
        <v>174</v>
      </c>
      <c r="C236" s="22">
        <v>46041</v>
      </c>
      <c r="D236" s="23">
        <v>32852</v>
      </c>
    </row>
    <row r="237" spans="1:4">
      <c r="A237" t="s">
        <v>26</v>
      </c>
      <c r="B237" t="s">
        <v>210</v>
      </c>
      <c r="C237" s="22">
        <v>46041</v>
      </c>
      <c r="D237" s="23">
        <v>18426</v>
      </c>
    </row>
    <row r="238" spans="1:4">
      <c r="A238" t="s">
        <v>25</v>
      </c>
      <c r="B238" t="s">
        <v>211</v>
      </c>
      <c r="C238" s="22">
        <v>46041</v>
      </c>
      <c r="D238" s="23">
        <v>16723</v>
      </c>
    </row>
    <row r="239" spans="1:4">
      <c r="A239" t="s">
        <v>23</v>
      </c>
      <c r="B239" t="s">
        <v>212</v>
      </c>
      <c r="C239" s="22">
        <v>46041</v>
      </c>
      <c r="D239" s="23">
        <v>32600</v>
      </c>
    </row>
    <row r="240" spans="1:4">
      <c r="A240" t="s">
        <v>22</v>
      </c>
      <c r="B240" t="s">
        <v>213</v>
      </c>
      <c r="C240" s="22">
        <v>46041</v>
      </c>
      <c r="D240" s="23">
        <v>29784</v>
      </c>
    </row>
    <row r="241" spans="1:4">
      <c r="A241" t="s">
        <v>20</v>
      </c>
      <c r="B241" t="s">
        <v>214</v>
      </c>
      <c r="C241" s="22">
        <v>46041</v>
      </c>
      <c r="D241" s="23">
        <v>41546</v>
      </c>
    </row>
    <row r="242" spans="1:4">
      <c r="A242" t="s">
        <v>20</v>
      </c>
      <c r="B242" t="s">
        <v>215</v>
      </c>
      <c r="C242" s="22">
        <v>46041</v>
      </c>
      <c r="D242" s="23">
        <v>25671</v>
      </c>
    </row>
    <row r="243" spans="1:4">
      <c r="A243" t="s">
        <v>20</v>
      </c>
      <c r="B243" t="s">
        <v>215</v>
      </c>
      <c r="C243" s="22">
        <v>46041</v>
      </c>
      <c r="D243" s="23">
        <v>28042</v>
      </c>
    </row>
    <row r="244" spans="1:4">
      <c r="A244" t="s">
        <v>18</v>
      </c>
      <c r="B244" t="s">
        <v>117</v>
      </c>
      <c r="C244" s="22">
        <v>46041</v>
      </c>
      <c r="D244" s="23">
        <v>44484</v>
      </c>
    </row>
    <row r="245" spans="1:4">
      <c r="A245" t="s">
        <v>18</v>
      </c>
      <c r="B245" t="s">
        <v>127</v>
      </c>
      <c r="C245" s="22">
        <v>46041</v>
      </c>
      <c r="D245" s="23">
        <v>34176</v>
      </c>
    </row>
    <row r="246" spans="1:4">
      <c r="A246" t="s">
        <v>18</v>
      </c>
      <c r="B246" t="s">
        <v>138</v>
      </c>
      <c r="C246" s="22">
        <v>46041</v>
      </c>
      <c r="D246" s="23">
        <v>37633</v>
      </c>
    </row>
    <row r="247" spans="1:4">
      <c r="A247" t="s">
        <v>28</v>
      </c>
      <c r="B247" t="s">
        <v>216</v>
      </c>
      <c r="C247" s="22">
        <v>46042</v>
      </c>
      <c r="D247" s="23">
        <v>15130</v>
      </c>
    </row>
    <row r="248" spans="1:4">
      <c r="A248" t="s">
        <v>28</v>
      </c>
      <c r="B248" t="s">
        <v>217</v>
      </c>
      <c r="C248" s="22">
        <v>46042</v>
      </c>
      <c r="D248" s="23">
        <v>17044</v>
      </c>
    </row>
    <row r="249" spans="1:4">
      <c r="A249" t="s">
        <v>28</v>
      </c>
      <c r="B249" t="s">
        <v>218</v>
      </c>
      <c r="C249" s="22">
        <v>46042</v>
      </c>
      <c r="D249" s="23">
        <v>16440</v>
      </c>
    </row>
    <row r="250" spans="1:4">
      <c r="A250" t="s">
        <v>21</v>
      </c>
      <c r="B250" t="s">
        <v>87</v>
      </c>
      <c r="C250" s="22">
        <v>46042</v>
      </c>
      <c r="D250" s="23">
        <v>28958</v>
      </c>
    </row>
    <row r="251" spans="1:4">
      <c r="A251" t="s">
        <v>21</v>
      </c>
      <c r="B251" t="s">
        <v>219</v>
      </c>
      <c r="C251" s="22">
        <v>46042</v>
      </c>
      <c r="D251" s="23">
        <v>30646</v>
      </c>
    </row>
    <row r="252" spans="1:4">
      <c r="A252" t="s">
        <v>26</v>
      </c>
      <c r="B252" t="s">
        <v>220</v>
      </c>
      <c r="C252" s="22">
        <v>46042</v>
      </c>
      <c r="D252" s="23">
        <v>16873</v>
      </c>
    </row>
    <row r="253" spans="1:4">
      <c r="A253" t="s">
        <v>23</v>
      </c>
      <c r="B253" t="s">
        <v>221</v>
      </c>
      <c r="C253" s="22">
        <v>46042</v>
      </c>
      <c r="D253" s="23">
        <v>19151</v>
      </c>
    </row>
    <row r="254" spans="1:4">
      <c r="A254" t="s">
        <v>29</v>
      </c>
      <c r="B254" t="s">
        <v>222</v>
      </c>
      <c r="C254" s="22">
        <v>46042</v>
      </c>
      <c r="D254" s="23">
        <v>10903</v>
      </c>
    </row>
    <row r="255" spans="1:4">
      <c r="A255" t="s">
        <v>22</v>
      </c>
      <c r="B255" t="s">
        <v>223</v>
      </c>
      <c r="C255" s="22">
        <v>46042</v>
      </c>
      <c r="D255" s="23">
        <v>22591</v>
      </c>
    </row>
    <row r="256" spans="1:4">
      <c r="A256" t="s">
        <v>20</v>
      </c>
      <c r="B256" t="s">
        <v>189</v>
      </c>
      <c r="C256" s="22">
        <v>46042</v>
      </c>
      <c r="D256" s="23">
        <v>26192</v>
      </c>
    </row>
    <row r="257" spans="1:4">
      <c r="A257" t="s">
        <v>20</v>
      </c>
      <c r="B257" t="s">
        <v>115</v>
      </c>
      <c r="C257" s="22">
        <v>46042</v>
      </c>
      <c r="D257" s="23">
        <v>33362</v>
      </c>
    </row>
    <row r="258" spans="1:4">
      <c r="A258" t="s">
        <v>18</v>
      </c>
      <c r="B258" t="s">
        <v>54</v>
      </c>
      <c r="C258" s="22">
        <v>46042</v>
      </c>
      <c r="D258" s="23">
        <v>39472</v>
      </c>
    </row>
    <row r="259" spans="1:4">
      <c r="A259" t="s">
        <v>18</v>
      </c>
      <c r="B259" t="s">
        <v>55</v>
      </c>
      <c r="C259" s="22">
        <v>46042</v>
      </c>
      <c r="D259" s="23">
        <v>34747</v>
      </c>
    </row>
    <row r="260" spans="1:4">
      <c r="A260" t="s">
        <v>18</v>
      </c>
      <c r="B260" t="s">
        <v>92</v>
      </c>
      <c r="C260" s="22">
        <v>46042</v>
      </c>
      <c r="D260" s="23">
        <v>49821</v>
      </c>
    </row>
    <row r="261" spans="1:4">
      <c r="A261" t="s">
        <v>18</v>
      </c>
      <c r="B261" t="s">
        <v>64</v>
      </c>
      <c r="C261" s="22">
        <v>46042</v>
      </c>
      <c r="D261" s="23">
        <v>49485</v>
      </c>
    </row>
    <row r="262" spans="1:4">
      <c r="A262" t="s">
        <v>18</v>
      </c>
      <c r="B262" t="s">
        <v>192</v>
      </c>
      <c r="C262" s="22">
        <v>46042</v>
      </c>
      <c r="D262" s="23">
        <v>47556</v>
      </c>
    </row>
    <row r="263" spans="1:4">
      <c r="A263" t="s">
        <v>18</v>
      </c>
      <c r="B263" t="s">
        <v>159</v>
      </c>
      <c r="C263" s="22">
        <v>46042</v>
      </c>
      <c r="D263" s="23">
        <v>37293</v>
      </c>
    </row>
    <row r="264" spans="1:4">
      <c r="A264" t="s">
        <v>18</v>
      </c>
      <c r="B264" t="s">
        <v>224</v>
      </c>
      <c r="C264" s="22">
        <v>46042</v>
      </c>
      <c r="D264" s="23">
        <v>40624</v>
      </c>
    </row>
    <row r="265" spans="1:4">
      <c r="A265" t="s">
        <v>28</v>
      </c>
      <c r="B265" t="s">
        <v>225</v>
      </c>
      <c r="C265" s="22">
        <v>46043</v>
      </c>
      <c r="D265" s="23">
        <v>18279</v>
      </c>
    </row>
    <row r="266" spans="1:4">
      <c r="A266" t="s">
        <v>21</v>
      </c>
      <c r="B266" t="s">
        <v>226</v>
      </c>
      <c r="C266" s="22">
        <v>46043</v>
      </c>
      <c r="D266" s="23">
        <v>40884</v>
      </c>
    </row>
    <row r="267" spans="1:4">
      <c r="A267" t="s">
        <v>21</v>
      </c>
      <c r="B267" t="s">
        <v>159</v>
      </c>
      <c r="C267" s="22">
        <v>46043</v>
      </c>
      <c r="D267" s="23">
        <v>33358</v>
      </c>
    </row>
    <row r="268" spans="1:4">
      <c r="A268" t="s">
        <v>31</v>
      </c>
      <c r="B268" t="s">
        <v>227</v>
      </c>
      <c r="C268" s="22">
        <v>46043</v>
      </c>
      <c r="D268" s="23">
        <v>12274</v>
      </c>
    </row>
    <row r="269" spans="1:4">
      <c r="A269" t="s">
        <v>25</v>
      </c>
      <c r="B269" t="s">
        <v>228</v>
      </c>
      <c r="C269" s="22">
        <v>46043</v>
      </c>
      <c r="D269" s="23">
        <v>20737</v>
      </c>
    </row>
    <row r="270" spans="1:4">
      <c r="A270" t="s">
        <v>20</v>
      </c>
      <c r="B270" t="s">
        <v>229</v>
      </c>
      <c r="C270" s="22">
        <v>46043</v>
      </c>
      <c r="D270" s="23">
        <v>28395</v>
      </c>
    </row>
    <row r="271" spans="1:4">
      <c r="A271" t="s">
        <v>20</v>
      </c>
      <c r="B271" t="s">
        <v>230</v>
      </c>
      <c r="C271" s="22">
        <v>46043</v>
      </c>
      <c r="D271" s="23">
        <v>42448</v>
      </c>
    </row>
    <row r="272" spans="1:4">
      <c r="A272" t="s">
        <v>20</v>
      </c>
      <c r="B272" t="s">
        <v>231</v>
      </c>
      <c r="C272" s="22">
        <v>46043</v>
      </c>
      <c r="D272" s="23">
        <v>24484</v>
      </c>
    </row>
    <row r="273" spans="1:4">
      <c r="A273" t="s">
        <v>23</v>
      </c>
      <c r="B273" t="s">
        <v>232</v>
      </c>
      <c r="C273" s="22">
        <v>46044</v>
      </c>
      <c r="D273" s="23">
        <v>6707</v>
      </c>
    </row>
    <row r="274" spans="1:4">
      <c r="A274" t="s">
        <v>23</v>
      </c>
      <c r="B274" t="s">
        <v>233</v>
      </c>
      <c r="C274" s="22">
        <v>46044</v>
      </c>
      <c r="D274" s="23">
        <v>23284</v>
      </c>
    </row>
    <row r="275" spans="1:4">
      <c r="A275" t="s">
        <v>23</v>
      </c>
      <c r="B275" t="s">
        <v>234</v>
      </c>
      <c r="C275" s="22">
        <v>46044</v>
      </c>
      <c r="D275" s="23">
        <v>31878</v>
      </c>
    </row>
    <row r="276" spans="1:4">
      <c r="A276" t="s">
        <v>20</v>
      </c>
      <c r="B276" t="s">
        <v>214</v>
      </c>
      <c r="C276" s="22">
        <v>46044</v>
      </c>
      <c r="D276" s="23">
        <v>30444</v>
      </c>
    </row>
    <row r="277" spans="1:4">
      <c r="A277" t="s">
        <v>18</v>
      </c>
      <c r="B277" t="s">
        <v>58</v>
      </c>
      <c r="C277" s="22">
        <v>46044</v>
      </c>
      <c r="D277" s="23">
        <v>52867</v>
      </c>
    </row>
    <row r="278" spans="1:4">
      <c r="A278" t="s">
        <v>18</v>
      </c>
      <c r="B278" t="s">
        <v>172</v>
      </c>
      <c r="C278" s="22">
        <v>46044</v>
      </c>
      <c r="D278" s="23">
        <v>60449</v>
      </c>
    </row>
    <row r="279" spans="1:4">
      <c r="A279" t="s">
        <v>28</v>
      </c>
      <c r="B279" t="s">
        <v>235</v>
      </c>
      <c r="C279" s="22">
        <v>46045</v>
      </c>
      <c r="D279" s="23">
        <v>16097</v>
      </c>
    </row>
    <row r="280" spans="1:4">
      <c r="A280" t="s">
        <v>33</v>
      </c>
      <c r="B280" t="s">
        <v>236</v>
      </c>
      <c r="C280" s="22">
        <v>46045</v>
      </c>
      <c r="D280" s="23">
        <v>13953</v>
      </c>
    </row>
    <row r="281" spans="1:4">
      <c r="A281" t="s">
        <v>23</v>
      </c>
      <c r="B281" t="s">
        <v>237</v>
      </c>
      <c r="C281" s="22">
        <v>46045</v>
      </c>
      <c r="D281" s="23">
        <v>44520</v>
      </c>
    </row>
    <row r="282" spans="1:4">
      <c r="A282" t="s">
        <v>22</v>
      </c>
      <c r="B282" t="s">
        <v>238</v>
      </c>
      <c r="C282" s="22">
        <v>46045</v>
      </c>
      <c r="D282" s="23">
        <v>42419</v>
      </c>
    </row>
    <row r="283" spans="1:4">
      <c r="A283" t="s">
        <v>20</v>
      </c>
      <c r="B283" t="s">
        <v>239</v>
      </c>
      <c r="C283" s="22">
        <v>46045</v>
      </c>
      <c r="D283" s="23">
        <v>37320</v>
      </c>
    </row>
    <row r="284" spans="1:4">
      <c r="A284" t="s">
        <v>20</v>
      </c>
      <c r="B284" t="s">
        <v>214</v>
      </c>
      <c r="C284" s="22">
        <v>46045</v>
      </c>
      <c r="D284" s="23">
        <v>38132</v>
      </c>
    </row>
    <row r="285" spans="1:4">
      <c r="A285" t="s">
        <v>20</v>
      </c>
      <c r="B285" t="s">
        <v>108</v>
      </c>
      <c r="C285" s="22">
        <v>46045</v>
      </c>
      <c r="D285" s="23">
        <v>38829</v>
      </c>
    </row>
    <row r="286" spans="1:4">
      <c r="A286" t="s">
        <v>18</v>
      </c>
      <c r="B286" t="s">
        <v>162</v>
      </c>
      <c r="C286" s="22">
        <v>46045</v>
      </c>
      <c r="D286" s="23">
        <v>49247</v>
      </c>
    </row>
    <row r="287" spans="1:4">
      <c r="A287" t="s">
        <v>21</v>
      </c>
      <c r="B287" t="s">
        <v>240</v>
      </c>
      <c r="C287" s="22">
        <v>46046</v>
      </c>
      <c r="D287" s="23">
        <v>23879</v>
      </c>
    </row>
    <row r="288" spans="1:4">
      <c r="A288" t="s">
        <v>21</v>
      </c>
      <c r="B288" t="s">
        <v>75</v>
      </c>
      <c r="C288" s="22">
        <v>46046</v>
      </c>
      <c r="D288" s="23">
        <v>28370</v>
      </c>
    </row>
    <row r="289" spans="1:4">
      <c r="A289" t="s">
        <v>21</v>
      </c>
      <c r="B289" t="s">
        <v>97</v>
      </c>
      <c r="C289" s="22">
        <v>46046</v>
      </c>
      <c r="D289" s="23">
        <v>51696</v>
      </c>
    </row>
    <row r="290" spans="1:4">
      <c r="A290" t="s">
        <v>33</v>
      </c>
      <c r="B290" t="s">
        <v>241</v>
      </c>
      <c r="C290" s="22">
        <v>46046</v>
      </c>
      <c r="D290" s="23">
        <v>13830</v>
      </c>
    </row>
    <row r="291" spans="1:4">
      <c r="A291" t="s">
        <v>33</v>
      </c>
      <c r="B291" t="s">
        <v>242</v>
      </c>
      <c r="C291" s="22">
        <v>46046</v>
      </c>
      <c r="D291" s="23">
        <v>9960</v>
      </c>
    </row>
    <row r="292" spans="1:4">
      <c r="A292" t="s">
        <v>27</v>
      </c>
      <c r="B292" t="s">
        <v>243</v>
      </c>
      <c r="C292" s="22">
        <v>46046</v>
      </c>
      <c r="D292" s="23">
        <v>23845</v>
      </c>
    </row>
    <row r="293" spans="1:4">
      <c r="A293" t="s">
        <v>25</v>
      </c>
      <c r="B293" t="s">
        <v>244</v>
      </c>
      <c r="C293" s="22">
        <v>46046</v>
      </c>
      <c r="D293" s="23">
        <v>16301</v>
      </c>
    </row>
    <row r="294" spans="1:4">
      <c r="A294" t="s">
        <v>25</v>
      </c>
      <c r="B294" t="s">
        <v>245</v>
      </c>
      <c r="C294" s="22">
        <v>46046</v>
      </c>
      <c r="D294" s="23">
        <v>17823</v>
      </c>
    </row>
    <row r="295" spans="1:4">
      <c r="A295" t="s">
        <v>20</v>
      </c>
      <c r="B295" t="s">
        <v>207</v>
      </c>
      <c r="C295" s="22">
        <v>46046</v>
      </c>
      <c r="D295" s="23">
        <v>36165</v>
      </c>
    </row>
    <row r="296" spans="1:4">
      <c r="A296" t="s">
        <v>20</v>
      </c>
      <c r="B296" t="s">
        <v>239</v>
      </c>
      <c r="C296" s="22">
        <v>46046</v>
      </c>
      <c r="D296" s="23">
        <v>36511</v>
      </c>
    </row>
    <row r="297" spans="1:4">
      <c r="A297" t="s">
        <v>18</v>
      </c>
      <c r="B297" t="s">
        <v>59</v>
      </c>
      <c r="C297" s="22">
        <v>46046</v>
      </c>
      <c r="D297" s="23">
        <v>38857</v>
      </c>
    </row>
    <row r="298" spans="1:4">
      <c r="A298" t="s">
        <v>18</v>
      </c>
      <c r="B298" t="s">
        <v>94</v>
      </c>
      <c r="C298" s="22">
        <v>46046</v>
      </c>
      <c r="D298" s="23">
        <v>46477</v>
      </c>
    </row>
    <row r="299" spans="1:4">
      <c r="A299" t="s">
        <v>18</v>
      </c>
      <c r="B299" t="s">
        <v>171</v>
      </c>
      <c r="C299" s="22">
        <v>46046</v>
      </c>
      <c r="D299" s="23">
        <v>33713</v>
      </c>
    </row>
    <row r="300" spans="1:4">
      <c r="A300" t="s">
        <v>18</v>
      </c>
      <c r="B300" t="s">
        <v>85</v>
      </c>
      <c r="C300" s="22">
        <v>46046</v>
      </c>
      <c r="D300" s="23">
        <v>38067</v>
      </c>
    </row>
    <row r="301" spans="1:4">
      <c r="A301" t="s">
        <v>21</v>
      </c>
      <c r="B301" t="s">
        <v>246</v>
      </c>
      <c r="C301" s="22">
        <v>46047</v>
      </c>
      <c r="D301" s="23">
        <v>6461</v>
      </c>
    </row>
    <row r="302" spans="1:4">
      <c r="A302" t="s">
        <v>21</v>
      </c>
      <c r="B302" t="s">
        <v>230</v>
      </c>
      <c r="C302" s="22">
        <v>46047</v>
      </c>
      <c r="D302" s="23">
        <v>38852</v>
      </c>
    </row>
    <row r="303" spans="1:4">
      <c r="A303" t="s">
        <v>27</v>
      </c>
      <c r="B303" t="s">
        <v>247</v>
      </c>
      <c r="C303" s="22">
        <v>46047</v>
      </c>
      <c r="D303" s="23">
        <v>15109</v>
      </c>
    </row>
    <row r="304" spans="1:4">
      <c r="A304" t="s">
        <v>22</v>
      </c>
      <c r="B304" t="s">
        <v>248</v>
      </c>
      <c r="C304" s="22">
        <v>46047</v>
      </c>
      <c r="D304" s="23">
        <v>25134</v>
      </c>
    </row>
    <row r="305" spans="1:4">
      <c r="A305" t="s">
        <v>22</v>
      </c>
      <c r="B305" t="s">
        <v>249</v>
      </c>
      <c r="C305" s="22">
        <v>46047</v>
      </c>
      <c r="D305" s="23">
        <v>23848</v>
      </c>
    </row>
    <row r="306" spans="1:4">
      <c r="A306" t="s">
        <v>20</v>
      </c>
      <c r="B306" t="s">
        <v>250</v>
      </c>
      <c r="C306" s="22">
        <v>46047</v>
      </c>
      <c r="D306" s="23">
        <v>24939</v>
      </c>
    </row>
    <row r="307" spans="1:4">
      <c r="A307" t="s">
        <v>18</v>
      </c>
      <c r="B307" t="s">
        <v>94</v>
      </c>
      <c r="C307" s="22">
        <v>46047</v>
      </c>
      <c r="D307" s="23">
        <v>51204</v>
      </c>
    </row>
    <row r="308" spans="1:4">
      <c r="A308" t="s">
        <v>18</v>
      </c>
      <c r="B308" t="s">
        <v>95</v>
      </c>
      <c r="C308" s="22">
        <v>46047</v>
      </c>
      <c r="D308" s="23">
        <v>44325</v>
      </c>
    </row>
    <row r="309" spans="1:4">
      <c r="A309" t="s">
        <v>18</v>
      </c>
      <c r="B309" t="s">
        <v>118</v>
      </c>
      <c r="C309" s="22">
        <v>46047</v>
      </c>
      <c r="D309" s="23">
        <v>49527</v>
      </c>
    </row>
    <row r="310" spans="1:4">
      <c r="A310" t="s">
        <v>21</v>
      </c>
      <c r="B310" t="s">
        <v>251</v>
      </c>
      <c r="C310" s="22">
        <v>46048</v>
      </c>
      <c r="D310" s="23">
        <v>40339</v>
      </c>
    </row>
    <row r="311" spans="1:4">
      <c r="A311" t="s">
        <v>21</v>
      </c>
      <c r="B311" t="s">
        <v>252</v>
      </c>
      <c r="C311" s="22">
        <v>46048</v>
      </c>
      <c r="D311" s="23">
        <v>45609</v>
      </c>
    </row>
    <row r="312" spans="1:4">
      <c r="A312" t="s">
        <v>21</v>
      </c>
      <c r="B312" t="s">
        <v>253</v>
      </c>
      <c r="C312" s="22">
        <v>46048</v>
      </c>
      <c r="D312" s="23">
        <v>31606</v>
      </c>
    </row>
    <row r="313" spans="1:4">
      <c r="A313" t="s">
        <v>21</v>
      </c>
      <c r="B313" t="s">
        <v>254</v>
      </c>
      <c r="C313" s="22">
        <v>46048</v>
      </c>
      <c r="D313" s="23">
        <v>35533</v>
      </c>
    </row>
    <row r="314" spans="1:4">
      <c r="A314" t="s">
        <v>26</v>
      </c>
      <c r="B314" t="s">
        <v>255</v>
      </c>
      <c r="C314" s="22">
        <v>46048</v>
      </c>
      <c r="D314" s="23">
        <v>15016</v>
      </c>
    </row>
    <row r="315" spans="1:4">
      <c r="A315" t="s">
        <v>27</v>
      </c>
      <c r="B315" t="s">
        <v>256</v>
      </c>
      <c r="C315" s="22">
        <v>46048</v>
      </c>
      <c r="D315" s="23">
        <v>15782</v>
      </c>
    </row>
    <row r="316" spans="1:4">
      <c r="A316" t="s">
        <v>32</v>
      </c>
      <c r="B316" t="s">
        <v>257</v>
      </c>
      <c r="C316" s="22">
        <v>46048</v>
      </c>
      <c r="D316" s="23">
        <v>29726</v>
      </c>
    </row>
    <row r="317" spans="1:4">
      <c r="A317" t="s">
        <v>23</v>
      </c>
      <c r="B317" t="s">
        <v>258</v>
      </c>
      <c r="C317" s="22">
        <v>46048</v>
      </c>
      <c r="D317" s="23">
        <v>23960</v>
      </c>
    </row>
    <row r="318" spans="1:4">
      <c r="A318" t="s">
        <v>22</v>
      </c>
      <c r="B318" t="s">
        <v>259</v>
      </c>
      <c r="C318" s="22">
        <v>46048</v>
      </c>
      <c r="D318" s="23">
        <v>27096</v>
      </c>
    </row>
    <row r="319" spans="1:4">
      <c r="A319" t="s">
        <v>20</v>
      </c>
      <c r="B319" t="s">
        <v>250</v>
      </c>
      <c r="C319" s="22">
        <v>46048</v>
      </c>
      <c r="D319" s="23">
        <v>28201</v>
      </c>
    </row>
    <row r="320" spans="1:4">
      <c r="A320" t="s">
        <v>20</v>
      </c>
      <c r="B320" t="s">
        <v>91</v>
      </c>
      <c r="C320" s="22">
        <v>46048</v>
      </c>
      <c r="D320" s="23">
        <v>39129</v>
      </c>
    </row>
    <row r="321" spans="1:4">
      <c r="A321" t="s">
        <v>18</v>
      </c>
      <c r="B321" t="s">
        <v>136</v>
      </c>
      <c r="C321" s="22">
        <v>46048</v>
      </c>
      <c r="D321" s="23">
        <v>23918</v>
      </c>
    </row>
    <row r="322" spans="1:4">
      <c r="A322" t="s">
        <v>18</v>
      </c>
      <c r="B322" t="s">
        <v>260</v>
      </c>
      <c r="C322" s="22">
        <v>46048</v>
      </c>
      <c r="D322" s="23">
        <v>56598</v>
      </c>
    </row>
    <row r="323" spans="1:4">
      <c r="A323" t="s">
        <v>18</v>
      </c>
      <c r="B323" t="s">
        <v>70</v>
      </c>
      <c r="C323" s="22">
        <v>46048</v>
      </c>
      <c r="D323" s="23">
        <v>36686</v>
      </c>
    </row>
    <row r="324" spans="1:4">
      <c r="A324" t="s">
        <v>18</v>
      </c>
      <c r="B324" t="s">
        <v>159</v>
      </c>
      <c r="C324" s="22">
        <v>46048</v>
      </c>
      <c r="D324" s="23">
        <v>35125</v>
      </c>
    </row>
    <row r="325" spans="1:4">
      <c r="A325" t="s">
        <v>18</v>
      </c>
      <c r="B325" t="s">
        <v>107</v>
      </c>
      <c r="C325" s="22">
        <v>46048</v>
      </c>
      <c r="D325" s="23">
        <v>43125</v>
      </c>
    </row>
    <row r="326" spans="1:4">
      <c r="A326" t="s">
        <v>34</v>
      </c>
      <c r="B326" t="s">
        <v>261</v>
      </c>
      <c r="C326" s="22">
        <v>46049</v>
      </c>
      <c r="D326" s="23">
        <v>5200</v>
      </c>
    </row>
    <row r="327" spans="1:4">
      <c r="A327" t="s">
        <v>23</v>
      </c>
      <c r="B327" t="s">
        <v>262</v>
      </c>
      <c r="C327" s="22">
        <v>46049</v>
      </c>
      <c r="D327" s="23">
        <v>22645</v>
      </c>
    </row>
    <row r="328" spans="1:4">
      <c r="A328" t="s">
        <v>23</v>
      </c>
      <c r="B328" t="s">
        <v>263</v>
      </c>
      <c r="C328" s="22">
        <v>46049</v>
      </c>
      <c r="D328" s="23">
        <v>16749</v>
      </c>
    </row>
    <row r="329" spans="1:4">
      <c r="A329" t="s">
        <v>23</v>
      </c>
      <c r="B329" t="s">
        <v>264</v>
      </c>
      <c r="C329" s="22">
        <v>46049</v>
      </c>
      <c r="D329" s="23">
        <v>26923</v>
      </c>
    </row>
    <row r="330" spans="1:4">
      <c r="A330" t="s">
        <v>20</v>
      </c>
      <c r="B330" t="s">
        <v>265</v>
      </c>
      <c r="C330" s="22">
        <v>46049</v>
      </c>
      <c r="D330" s="23">
        <v>30791</v>
      </c>
    </row>
    <row r="331" spans="1:4">
      <c r="A331" t="s">
        <v>21</v>
      </c>
      <c r="B331" t="s">
        <v>93</v>
      </c>
      <c r="C331" s="22">
        <v>46050</v>
      </c>
      <c r="D331" s="23">
        <v>49574</v>
      </c>
    </row>
    <row r="332" spans="1:4">
      <c r="A332" t="s">
        <v>27</v>
      </c>
      <c r="B332" t="s">
        <v>266</v>
      </c>
      <c r="C332" s="22">
        <v>46050</v>
      </c>
      <c r="D332" s="23">
        <v>14409</v>
      </c>
    </row>
    <row r="333" spans="1:4">
      <c r="A333" t="s">
        <v>25</v>
      </c>
      <c r="B333" t="s">
        <v>267</v>
      </c>
      <c r="C333" s="22">
        <v>46050</v>
      </c>
      <c r="D333" s="23">
        <v>22925</v>
      </c>
    </row>
    <row r="334" spans="1:4">
      <c r="A334" t="s">
        <v>22</v>
      </c>
      <c r="B334" t="s">
        <v>268</v>
      </c>
      <c r="C334" s="22">
        <v>46050</v>
      </c>
      <c r="D334" s="23">
        <v>11716</v>
      </c>
    </row>
    <row r="335" spans="1:4">
      <c r="A335" t="s">
        <v>18</v>
      </c>
      <c r="B335" t="s">
        <v>106</v>
      </c>
      <c r="C335" s="22">
        <v>46050</v>
      </c>
      <c r="D335" s="23">
        <v>45312</v>
      </c>
    </row>
    <row r="336" spans="1:4">
      <c r="A336" t="s">
        <v>18</v>
      </c>
      <c r="B336" t="s">
        <v>190</v>
      </c>
      <c r="C336" s="22">
        <v>46050</v>
      </c>
      <c r="D336" s="23">
        <v>38553</v>
      </c>
    </row>
    <row r="337" spans="1:4">
      <c r="A337" t="s">
        <v>18</v>
      </c>
      <c r="B337" t="s">
        <v>190</v>
      </c>
      <c r="C337" s="22">
        <v>46050</v>
      </c>
      <c r="D337" s="23">
        <v>39002</v>
      </c>
    </row>
    <row r="338" spans="1:4">
      <c r="A338" t="s">
        <v>18</v>
      </c>
      <c r="B338" t="s">
        <v>93</v>
      </c>
      <c r="C338" s="22">
        <v>46050</v>
      </c>
      <c r="D338" s="23">
        <v>47886</v>
      </c>
    </row>
    <row r="339" spans="1:4">
      <c r="A339" t="s">
        <v>18</v>
      </c>
      <c r="B339" t="s">
        <v>94</v>
      </c>
      <c r="C339" s="22">
        <v>46050</v>
      </c>
      <c r="D339" s="23">
        <v>61837</v>
      </c>
    </row>
    <row r="340" spans="1:4">
      <c r="A340" t="s">
        <v>18</v>
      </c>
      <c r="B340" t="s">
        <v>129</v>
      </c>
      <c r="C340" s="22">
        <v>46050</v>
      </c>
      <c r="D340" s="23">
        <v>31921</v>
      </c>
    </row>
    <row r="341" spans="1:4">
      <c r="A341" t="s">
        <v>18</v>
      </c>
      <c r="B341" t="s">
        <v>129</v>
      </c>
      <c r="C341" s="22">
        <v>46050</v>
      </c>
      <c r="D341" s="23">
        <v>35908</v>
      </c>
    </row>
    <row r="342" spans="1:4">
      <c r="A342" t="s">
        <v>37</v>
      </c>
      <c r="B342" t="s">
        <v>269</v>
      </c>
      <c r="C342" s="22">
        <v>46051</v>
      </c>
      <c r="D342" s="23">
        <v>11231</v>
      </c>
    </row>
    <row r="343" spans="1:4">
      <c r="A343" t="s">
        <v>23</v>
      </c>
      <c r="B343" t="s">
        <v>270</v>
      </c>
      <c r="C343" s="22">
        <v>46051</v>
      </c>
      <c r="D343" s="23">
        <v>5200</v>
      </c>
    </row>
    <row r="344" spans="1:4">
      <c r="A344" t="s">
        <v>22</v>
      </c>
      <c r="B344" t="s">
        <v>271</v>
      </c>
      <c r="C344" s="22">
        <v>46051</v>
      </c>
      <c r="D344" s="23">
        <v>27601</v>
      </c>
    </row>
    <row r="345" spans="1:4">
      <c r="A345" t="s">
        <v>20</v>
      </c>
      <c r="B345" t="s">
        <v>169</v>
      </c>
      <c r="C345" s="22">
        <v>46051</v>
      </c>
      <c r="D345" s="23">
        <v>31192</v>
      </c>
    </row>
    <row r="346" spans="1:4">
      <c r="A346" t="s">
        <v>20</v>
      </c>
      <c r="B346" t="s">
        <v>91</v>
      </c>
      <c r="C346" s="22">
        <v>46051</v>
      </c>
      <c r="D346" s="23">
        <v>24104</v>
      </c>
    </row>
    <row r="347" spans="1:4">
      <c r="A347" t="s">
        <v>18</v>
      </c>
      <c r="B347" t="s">
        <v>272</v>
      </c>
      <c r="C347" s="22">
        <v>46051</v>
      </c>
      <c r="D347" s="23">
        <v>51530</v>
      </c>
    </row>
    <row r="348" spans="1:4">
      <c r="A348" t="s">
        <v>18</v>
      </c>
      <c r="B348" t="s">
        <v>93</v>
      </c>
      <c r="C348" s="22">
        <v>46051</v>
      </c>
      <c r="D348" s="23">
        <v>46177</v>
      </c>
    </row>
    <row r="349" spans="1:4">
      <c r="A349" t="s">
        <v>18</v>
      </c>
      <c r="B349" t="s">
        <v>84</v>
      </c>
      <c r="C349" s="22">
        <v>46051</v>
      </c>
      <c r="D349" s="23">
        <v>37922</v>
      </c>
    </row>
    <row r="350" spans="1:4">
      <c r="A350" t="s">
        <v>18</v>
      </c>
      <c r="B350" t="s">
        <v>192</v>
      </c>
      <c r="C350" s="22">
        <v>46051</v>
      </c>
      <c r="D350" s="23">
        <v>38456</v>
      </c>
    </row>
    <row r="351" spans="1:4">
      <c r="A351" t="s">
        <v>18</v>
      </c>
      <c r="B351" t="s">
        <v>69</v>
      </c>
      <c r="C351" s="22">
        <v>46051</v>
      </c>
      <c r="D351" s="23">
        <v>40170</v>
      </c>
    </row>
    <row r="352" spans="1:4">
      <c r="A352" t="s">
        <v>18</v>
      </c>
      <c r="B352" t="s">
        <v>58</v>
      </c>
      <c r="C352" s="22">
        <v>46051</v>
      </c>
      <c r="D352" s="23">
        <v>46719</v>
      </c>
    </row>
    <row r="353" spans="1:4">
      <c r="A353" t="s">
        <v>18</v>
      </c>
      <c r="B353" t="s">
        <v>53</v>
      </c>
      <c r="C353" s="22">
        <v>46051</v>
      </c>
      <c r="D353" s="23">
        <v>34298</v>
      </c>
    </row>
    <row r="354" spans="1:4">
      <c r="A354" t="s">
        <v>31</v>
      </c>
      <c r="B354" t="s">
        <v>273</v>
      </c>
      <c r="C354" s="22">
        <v>46052</v>
      </c>
      <c r="D354" s="23">
        <v>5200</v>
      </c>
    </row>
    <row r="355" spans="1:4">
      <c r="A355" t="s">
        <v>25</v>
      </c>
      <c r="B355" t="s">
        <v>274</v>
      </c>
      <c r="C355" s="22">
        <v>46052</v>
      </c>
      <c r="D355" s="23">
        <v>18939</v>
      </c>
    </row>
    <row r="356" spans="1:4">
      <c r="A356" t="s">
        <v>25</v>
      </c>
      <c r="B356" t="s">
        <v>275</v>
      </c>
      <c r="C356" s="22">
        <v>46052</v>
      </c>
      <c r="D356" s="23">
        <v>30833</v>
      </c>
    </row>
    <row r="357" spans="1:4">
      <c r="A357" t="s">
        <v>22</v>
      </c>
      <c r="B357" t="s">
        <v>137</v>
      </c>
      <c r="C357" s="22">
        <v>46052</v>
      </c>
      <c r="D357" s="23">
        <v>21301</v>
      </c>
    </row>
    <row r="358" spans="1:4">
      <c r="A358" t="s">
        <v>20</v>
      </c>
      <c r="B358" t="s">
        <v>126</v>
      </c>
      <c r="C358" s="22">
        <v>46052</v>
      </c>
      <c r="D358" s="23">
        <v>25769</v>
      </c>
    </row>
    <row r="359" spans="1:4">
      <c r="A359" t="s">
        <v>20</v>
      </c>
      <c r="B359" t="s">
        <v>158</v>
      </c>
      <c r="C359" s="22">
        <v>46052</v>
      </c>
      <c r="D359" s="23">
        <v>31466</v>
      </c>
    </row>
    <row r="360" spans="1:4">
      <c r="A360" t="s">
        <v>20</v>
      </c>
      <c r="B360" t="s">
        <v>138</v>
      </c>
      <c r="C360" s="22">
        <v>46052</v>
      </c>
      <c r="D360" s="23">
        <v>44173</v>
      </c>
    </row>
    <row r="361" spans="1:4">
      <c r="A361" t="s">
        <v>18</v>
      </c>
      <c r="B361" t="s">
        <v>55</v>
      </c>
      <c r="C361" s="22">
        <v>46052</v>
      </c>
      <c r="D361" s="23">
        <v>43595</v>
      </c>
    </row>
    <row r="362" spans="1:4">
      <c r="A362" t="s">
        <v>18</v>
      </c>
      <c r="B362" t="s">
        <v>64</v>
      </c>
      <c r="C362" s="22">
        <v>46052</v>
      </c>
      <c r="D362" s="23">
        <v>45611</v>
      </c>
    </row>
    <row r="363" spans="1:4">
      <c r="A363" t="s">
        <v>18</v>
      </c>
      <c r="B363" t="s">
        <v>260</v>
      </c>
      <c r="C363" s="22">
        <v>46052</v>
      </c>
      <c r="D363" s="23">
        <v>39174</v>
      </c>
    </row>
    <row r="364" spans="1:4">
      <c r="A364" t="s">
        <v>18</v>
      </c>
      <c r="B364" t="s">
        <v>93</v>
      </c>
      <c r="C364" s="22">
        <v>46052</v>
      </c>
      <c r="D364" s="23">
        <v>49800</v>
      </c>
    </row>
    <row r="365" spans="1:4">
      <c r="A365" t="s">
        <v>18</v>
      </c>
      <c r="B365" t="s">
        <v>117</v>
      </c>
      <c r="C365" s="22">
        <v>46052</v>
      </c>
      <c r="D365" s="23">
        <v>53200</v>
      </c>
    </row>
    <row r="366" spans="1:4">
      <c r="A366" t="s">
        <v>18</v>
      </c>
      <c r="B366" t="s">
        <v>173</v>
      </c>
      <c r="C366" s="22">
        <v>46052</v>
      </c>
      <c r="D366" s="23">
        <v>33169</v>
      </c>
    </row>
    <row r="367" spans="1:4">
      <c r="A367" t="s">
        <v>18</v>
      </c>
      <c r="B367" t="s">
        <v>97</v>
      </c>
      <c r="C367" s="22">
        <v>46052</v>
      </c>
      <c r="D367" s="23">
        <v>48692</v>
      </c>
    </row>
    <row r="368" spans="1:4">
      <c r="A368" t="s">
        <v>28</v>
      </c>
      <c r="B368" t="s">
        <v>276</v>
      </c>
      <c r="C368" s="22">
        <v>46053</v>
      </c>
      <c r="D368" s="23">
        <v>10203</v>
      </c>
    </row>
    <row r="369" spans="1:4">
      <c r="A369" t="s">
        <v>21</v>
      </c>
      <c r="B369" t="s">
        <v>92</v>
      </c>
      <c r="C369" s="22">
        <v>46053</v>
      </c>
      <c r="D369" s="23">
        <v>53306</v>
      </c>
    </row>
    <row r="370" spans="1:4">
      <c r="A370" t="s">
        <v>21</v>
      </c>
      <c r="B370" t="s">
        <v>259</v>
      </c>
      <c r="C370" s="22">
        <v>46053</v>
      </c>
      <c r="D370" s="23">
        <v>27499</v>
      </c>
    </row>
    <row r="371" spans="1:4">
      <c r="A371" t="s">
        <v>21</v>
      </c>
      <c r="B371" t="s">
        <v>277</v>
      </c>
      <c r="C371" s="22">
        <v>46053</v>
      </c>
      <c r="D371" s="23">
        <v>27893</v>
      </c>
    </row>
    <row r="372" spans="1:4">
      <c r="A372" t="s">
        <v>26</v>
      </c>
      <c r="B372" t="s">
        <v>278</v>
      </c>
      <c r="C372" s="22">
        <v>46053</v>
      </c>
      <c r="D372" s="23">
        <v>19261</v>
      </c>
    </row>
    <row r="373" spans="1:4">
      <c r="A373" t="s">
        <v>27</v>
      </c>
      <c r="B373" t="s">
        <v>279</v>
      </c>
      <c r="C373" s="22">
        <v>46053</v>
      </c>
      <c r="D373" s="23">
        <v>21489</v>
      </c>
    </row>
    <row r="374" spans="1:4">
      <c r="A374" t="s">
        <v>25</v>
      </c>
      <c r="B374" t="s">
        <v>280</v>
      </c>
      <c r="C374" s="22">
        <v>46053</v>
      </c>
      <c r="D374" s="23">
        <v>28570</v>
      </c>
    </row>
    <row r="375" spans="1:4">
      <c r="A375" t="s">
        <v>34</v>
      </c>
      <c r="B375" t="s">
        <v>281</v>
      </c>
      <c r="C375" s="22">
        <v>46053</v>
      </c>
      <c r="D375" s="23">
        <v>5200</v>
      </c>
    </row>
    <row r="376" spans="1:4">
      <c r="A376" t="s">
        <v>23</v>
      </c>
      <c r="B376" t="s">
        <v>282</v>
      </c>
      <c r="C376" s="22">
        <v>46053</v>
      </c>
      <c r="D376" s="23">
        <v>24115</v>
      </c>
    </row>
    <row r="377" spans="1:4">
      <c r="A377" t="s">
        <v>29</v>
      </c>
      <c r="B377" t="s">
        <v>283</v>
      </c>
      <c r="C377" s="22">
        <v>46053</v>
      </c>
      <c r="D377" s="23">
        <v>15050</v>
      </c>
    </row>
    <row r="378" spans="1:4">
      <c r="A378" t="s">
        <v>20</v>
      </c>
      <c r="B378" t="s">
        <v>103</v>
      </c>
      <c r="C378" s="22">
        <v>46053</v>
      </c>
      <c r="D378" s="23">
        <v>31277</v>
      </c>
    </row>
    <row r="379" spans="1:4">
      <c r="A379" t="s">
        <v>20</v>
      </c>
      <c r="B379" t="s">
        <v>168</v>
      </c>
      <c r="C379" s="22">
        <v>46053</v>
      </c>
      <c r="D379" s="23">
        <v>25800</v>
      </c>
    </row>
    <row r="380" spans="1:4">
      <c r="A380" t="s">
        <v>20</v>
      </c>
      <c r="B380" t="s">
        <v>229</v>
      </c>
      <c r="C380" s="22">
        <v>46053</v>
      </c>
      <c r="D380" s="23">
        <v>33522</v>
      </c>
    </row>
    <row r="381" spans="1:4">
      <c r="A381" t="s">
        <v>21</v>
      </c>
      <c r="B381" t="s">
        <v>138</v>
      </c>
      <c r="C381" s="22">
        <v>46054</v>
      </c>
      <c r="D381" s="23">
        <v>42779</v>
      </c>
    </row>
    <row r="382" spans="1:4">
      <c r="A382" t="s">
        <v>33</v>
      </c>
      <c r="B382" t="s">
        <v>241</v>
      </c>
      <c r="C382" s="22">
        <v>46054</v>
      </c>
      <c r="D382" s="23">
        <v>10132</v>
      </c>
    </row>
    <row r="383" spans="1:4">
      <c r="A383" t="s">
        <v>25</v>
      </c>
      <c r="B383" t="s">
        <v>112</v>
      </c>
      <c r="C383" s="22">
        <v>46054</v>
      </c>
      <c r="D383" s="23">
        <v>6939</v>
      </c>
    </row>
    <row r="384" spans="1:4">
      <c r="A384" t="s">
        <v>25</v>
      </c>
      <c r="B384" t="s">
        <v>267</v>
      </c>
      <c r="C384" s="22">
        <v>46054</v>
      </c>
      <c r="D384" s="23">
        <v>15674</v>
      </c>
    </row>
    <row r="385" spans="1:4">
      <c r="A385" t="s">
        <v>23</v>
      </c>
      <c r="B385" t="s">
        <v>262</v>
      </c>
      <c r="C385" s="22">
        <v>46054</v>
      </c>
      <c r="D385" s="23">
        <v>22553</v>
      </c>
    </row>
    <row r="386" spans="1:4">
      <c r="A386" t="s">
        <v>22</v>
      </c>
      <c r="B386" t="s">
        <v>52</v>
      </c>
      <c r="C386" s="22">
        <v>46054</v>
      </c>
      <c r="D386" s="23">
        <v>6195</v>
      </c>
    </row>
    <row r="387" spans="1:4">
      <c r="A387" t="s">
        <v>22</v>
      </c>
      <c r="B387" t="s">
        <v>81</v>
      </c>
      <c r="C387" s="22">
        <v>46054</v>
      </c>
      <c r="D387" s="23">
        <v>31820</v>
      </c>
    </row>
    <row r="388" spans="1:4">
      <c r="A388" t="s">
        <v>18</v>
      </c>
      <c r="B388" t="s">
        <v>54</v>
      </c>
      <c r="C388" s="22">
        <v>46054</v>
      </c>
      <c r="D388" s="23">
        <v>41612</v>
      </c>
    </row>
    <row r="389" spans="1:4">
      <c r="A389" t="s">
        <v>18</v>
      </c>
      <c r="B389" t="s">
        <v>106</v>
      </c>
      <c r="C389" s="22">
        <v>46054</v>
      </c>
      <c r="D389" s="23">
        <v>46141</v>
      </c>
    </row>
    <row r="390" spans="1:4">
      <c r="A390" t="s">
        <v>18</v>
      </c>
      <c r="B390" t="s">
        <v>93</v>
      </c>
      <c r="C390" s="22">
        <v>46054</v>
      </c>
      <c r="D390" s="23">
        <v>32726</v>
      </c>
    </row>
    <row r="391" spans="1:4">
      <c r="A391" t="s">
        <v>18</v>
      </c>
      <c r="B391" t="s">
        <v>162</v>
      </c>
      <c r="C391" s="22">
        <v>46054</v>
      </c>
      <c r="D391" s="23">
        <v>37421</v>
      </c>
    </row>
    <row r="392" spans="1:4">
      <c r="A392" t="s">
        <v>28</v>
      </c>
      <c r="B392" t="s">
        <v>217</v>
      </c>
      <c r="C392" s="22">
        <v>46055</v>
      </c>
      <c r="D392" s="23">
        <v>17095</v>
      </c>
    </row>
    <row r="393" spans="1:4">
      <c r="A393" t="s">
        <v>28</v>
      </c>
      <c r="B393" t="s">
        <v>218</v>
      </c>
      <c r="C393" s="22">
        <v>46055</v>
      </c>
      <c r="D393" s="23">
        <v>18348</v>
      </c>
    </row>
    <row r="394" spans="1:4">
      <c r="A394" t="s">
        <v>21</v>
      </c>
      <c r="B394" t="s">
        <v>259</v>
      </c>
      <c r="C394" s="22">
        <v>46055</v>
      </c>
      <c r="D394" s="23">
        <v>30759</v>
      </c>
    </row>
    <row r="395" spans="1:4">
      <c r="A395" t="s">
        <v>21</v>
      </c>
      <c r="B395" t="s">
        <v>77</v>
      </c>
      <c r="C395" s="22">
        <v>46055</v>
      </c>
      <c r="D395" s="23">
        <v>23166</v>
      </c>
    </row>
    <row r="396" spans="1:4">
      <c r="A396" t="s">
        <v>21</v>
      </c>
      <c r="B396" t="s">
        <v>254</v>
      </c>
      <c r="C396" s="22">
        <v>46055</v>
      </c>
      <c r="D396" s="23">
        <v>35950</v>
      </c>
    </row>
    <row r="397" spans="1:4">
      <c r="A397" t="s">
        <v>26</v>
      </c>
      <c r="B397" t="s">
        <v>263</v>
      </c>
      <c r="C397" s="22">
        <v>46055</v>
      </c>
      <c r="D397" s="23">
        <v>21480</v>
      </c>
    </row>
    <row r="398" spans="1:4">
      <c r="A398" t="s">
        <v>31</v>
      </c>
      <c r="B398" t="s">
        <v>273</v>
      </c>
      <c r="C398" s="22">
        <v>46055</v>
      </c>
      <c r="D398" s="23">
        <v>12245</v>
      </c>
    </row>
    <row r="399" spans="1:4">
      <c r="A399" t="s">
        <v>27</v>
      </c>
      <c r="B399" t="s">
        <v>194</v>
      </c>
      <c r="C399" s="22">
        <v>46055</v>
      </c>
      <c r="D399" s="23">
        <v>16804</v>
      </c>
    </row>
    <row r="400" spans="1:4">
      <c r="A400" t="s">
        <v>27</v>
      </c>
      <c r="B400" t="s">
        <v>155</v>
      </c>
      <c r="C400" s="22">
        <v>46055</v>
      </c>
      <c r="D400" s="23">
        <v>18035</v>
      </c>
    </row>
    <row r="401" spans="1:4">
      <c r="A401" t="s">
        <v>25</v>
      </c>
      <c r="B401" t="s">
        <v>256</v>
      </c>
      <c r="C401" s="22">
        <v>46055</v>
      </c>
      <c r="D401" s="23">
        <v>16233</v>
      </c>
    </row>
    <row r="402" spans="1:4">
      <c r="A402" t="s">
        <v>23</v>
      </c>
      <c r="B402" t="s">
        <v>221</v>
      </c>
      <c r="C402" s="22">
        <v>46055</v>
      </c>
      <c r="D402" s="23">
        <v>17322</v>
      </c>
    </row>
    <row r="403" spans="1:4">
      <c r="A403" t="s">
        <v>22</v>
      </c>
      <c r="B403" t="s">
        <v>80</v>
      </c>
      <c r="C403" s="22">
        <v>46055</v>
      </c>
      <c r="D403" s="23">
        <v>21410</v>
      </c>
    </row>
    <row r="404" spans="1:4">
      <c r="A404" t="s">
        <v>20</v>
      </c>
      <c r="B404" t="s">
        <v>54</v>
      </c>
      <c r="C404" s="22">
        <v>46055</v>
      </c>
      <c r="D404" s="23">
        <v>34615</v>
      </c>
    </row>
    <row r="405" spans="1:4">
      <c r="A405" t="s">
        <v>20</v>
      </c>
      <c r="B405" t="s">
        <v>280</v>
      </c>
      <c r="C405" s="22">
        <v>46055</v>
      </c>
      <c r="D405" s="23">
        <v>28624</v>
      </c>
    </row>
    <row r="406" spans="1:4">
      <c r="A406" t="s">
        <v>18</v>
      </c>
      <c r="B406" t="s">
        <v>69</v>
      </c>
      <c r="C406" s="22">
        <v>46055</v>
      </c>
      <c r="D406" s="23">
        <v>36752</v>
      </c>
    </row>
    <row r="407" spans="1:4">
      <c r="A407" t="s">
        <v>21</v>
      </c>
      <c r="B407" t="s">
        <v>237</v>
      </c>
      <c r="C407" s="22">
        <v>46056</v>
      </c>
      <c r="D407" s="23">
        <v>23289</v>
      </c>
    </row>
    <row r="408" spans="1:4">
      <c r="A408" t="s">
        <v>33</v>
      </c>
      <c r="B408" t="s">
        <v>154</v>
      </c>
      <c r="C408" s="22">
        <v>46056</v>
      </c>
      <c r="D408" s="23">
        <v>16531</v>
      </c>
    </row>
    <row r="409" spans="1:4">
      <c r="A409" t="s">
        <v>27</v>
      </c>
      <c r="B409" t="s">
        <v>243</v>
      </c>
      <c r="C409" s="22">
        <v>46056</v>
      </c>
      <c r="D409" s="23">
        <v>28254</v>
      </c>
    </row>
    <row r="410" spans="1:4">
      <c r="A410" t="s">
        <v>34</v>
      </c>
      <c r="B410" t="s">
        <v>186</v>
      </c>
      <c r="C410" s="22">
        <v>46056</v>
      </c>
      <c r="D410" s="23">
        <v>15006</v>
      </c>
    </row>
    <row r="411" spans="1:4">
      <c r="A411" t="s">
        <v>23</v>
      </c>
      <c r="B411" t="s">
        <v>114</v>
      </c>
      <c r="C411" s="22">
        <v>46056</v>
      </c>
      <c r="D411" s="23">
        <v>21904</v>
      </c>
    </row>
    <row r="412" spans="1:4">
      <c r="A412" t="s">
        <v>22</v>
      </c>
      <c r="B412" t="s">
        <v>249</v>
      </c>
      <c r="C412" s="22">
        <v>46056</v>
      </c>
      <c r="D412" s="23">
        <v>35571</v>
      </c>
    </row>
    <row r="413" spans="1:4">
      <c r="A413" t="s">
        <v>20</v>
      </c>
      <c r="B413" t="s">
        <v>207</v>
      </c>
      <c r="C413" s="22">
        <v>46056</v>
      </c>
      <c r="D413" s="23">
        <v>47261</v>
      </c>
    </row>
    <row r="414" spans="1:4">
      <c r="A414" t="s">
        <v>20</v>
      </c>
      <c r="B414" t="s">
        <v>229</v>
      </c>
      <c r="C414" s="22">
        <v>46056</v>
      </c>
      <c r="D414" s="23">
        <v>36490</v>
      </c>
    </row>
    <row r="415" spans="1:4">
      <c r="A415" t="s">
        <v>20</v>
      </c>
      <c r="B415" t="s">
        <v>265</v>
      </c>
      <c r="C415" s="22">
        <v>46056</v>
      </c>
      <c r="D415" s="23">
        <v>39398</v>
      </c>
    </row>
    <row r="416" spans="1:4">
      <c r="A416" t="s">
        <v>18</v>
      </c>
      <c r="B416" t="s">
        <v>117</v>
      </c>
      <c r="C416" s="22">
        <v>46056</v>
      </c>
      <c r="D416" s="23">
        <v>36025</v>
      </c>
    </row>
    <row r="417" spans="1:4">
      <c r="A417" t="s">
        <v>18</v>
      </c>
      <c r="B417" t="s">
        <v>173</v>
      </c>
      <c r="C417" s="22">
        <v>46056</v>
      </c>
      <c r="D417" s="23">
        <v>32946</v>
      </c>
    </row>
    <row r="418" spans="1:4">
      <c r="A418" t="s">
        <v>18</v>
      </c>
      <c r="B418" t="s">
        <v>71</v>
      </c>
      <c r="C418" s="22">
        <v>46056</v>
      </c>
      <c r="D418" s="23">
        <v>33357</v>
      </c>
    </row>
    <row r="419" spans="1:4">
      <c r="A419" t="s">
        <v>37</v>
      </c>
      <c r="B419" t="s">
        <v>73</v>
      </c>
      <c r="C419" s="22">
        <v>46057</v>
      </c>
      <c r="D419" s="23">
        <v>13870</v>
      </c>
    </row>
    <row r="420" spans="1:4">
      <c r="A420" t="s">
        <v>28</v>
      </c>
      <c r="B420" t="s">
        <v>225</v>
      </c>
      <c r="C420" s="22">
        <v>46057</v>
      </c>
      <c r="D420" s="23">
        <v>13555</v>
      </c>
    </row>
    <row r="421" spans="1:4">
      <c r="A421" t="s">
        <v>21</v>
      </c>
      <c r="B421" t="s">
        <v>146</v>
      </c>
      <c r="C421" s="22">
        <v>46057</v>
      </c>
      <c r="D421" s="23">
        <v>30629</v>
      </c>
    </row>
    <row r="422" spans="1:4">
      <c r="A422" t="s">
        <v>21</v>
      </c>
      <c r="B422" t="s">
        <v>277</v>
      </c>
      <c r="C422" s="22">
        <v>46057</v>
      </c>
      <c r="D422" s="23">
        <v>33254</v>
      </c>
    </row>
    <row r="423" spans="1:4">
      <c r="A423" t="s">
        <v>21</v>
      </c>
      <c r="B423" t="s">
        <v>246</v>
      </c>
      <c r="C423" s="22">
        <v>46057</v>
      </c>
      <c r="D423" s="23">
        <v>8770</v>
      </c>
    </row>
    <row r="424" spans="1:4">
      <c r="A424" t="s">
        <v>21</v>
      </c>
      <c r="B424" t="s">
        <v>83</v>
      </c>
      <c r="C424" s="22">
        <v>46057</v>
      </c>
      <c r="D424" s="23">
        <v>32104</v>
      </c>
    </row>
    <row r="425" spans="1:4">
      <c r="A425" t="s">
        <v>36</v>
      </c>
      <c r="B425" t="s">
        <v>121</v>
      </c>
      <c r="C425" s="22">
        <v>46057</v>
      </c>
      <c r="D425" s="23">
        <v>15240</v>
      </c>
    </row>
    <row r="426" spans="1:4">
      <c r="A426" t="s">
        <v>23</v>
      </c>
      <c r="B426" t="s">
        <v>78</v>
      </c>
      <c r="C426" s="22">
        <v>46057</v>
      </c>
      <c r="D426" s="23">
        <v>43070</v>
      </c>
    </row>
    <row r="427" spans="1:4">
      <c r="A427" t="s">
        <v>23</v>
      </c>
      <c r="B427" t="s">
        <v>120</v>
      </c>
      <c r="C427" s="22">
        <v>46057</v>
      </c>
      <c r="D427" s="23">
        <v>18618</v>
      </c>
    </row>
    <row r="428" spans="1:4">
      <c r="A428" t="s">
        <v>29</v>
      </c>
      <c r="B428" t="s">
        <v>227</v>
      </c>
      <c r="C428" s="22">
        <v>46057</v>
      </c>
      <c r="D428" s="23">
        <v>14944</v>
      </c>
    </row>
    <row r="429" spans="1:4">
      <c r="A429" t="s">
        <v>20</v>
      </c>
      <c r="B429" t="s">
        <v>206</v>
      </c>
      <c r="C429" s="22">
        <v>46057</v>
      </c>
      <c r="D429" s="23">
        <v>30493</v>
      </c>
    </row>
    <row r="430" spans="1:4">
      <c r="A430" t="s">
        <v>20</v>
      </c>
      <c r="B430" t="s">
        <v>158</v>
      </c>
      <c r="C430" s="22">
        <v>46057</v>
      </c>
      <c r="D430" s="23">
        <v>28253</v>
      </c>
    </row>
    <row r="431" spans="1:4">
      <c r="A431" t="s">
        <v>20</v>
      </c>
      <c r="B431" t="s">
        <v>168</v>
      </c>
      <c r="C431" s="22">
        <v>46057</v>
      </c>
      <c r="D431" s="23">
        <v>23871</v>
      </c>
    </row>
    <row r="432" spans="1:4">
      <c r="A432" t="s">
        <v>18</v>
      </c>
      <c r="B432" t="s">
        <v>105</v>
      </c>
      <c r="C432" s="22">
        <v>46057</v>
      </c>
      <c r="D432" s="23">
        <v>35430</v>
      </c>
    </row>
    <row r="433" spans="1:4">
      <c r="A433" t="s">
        <v>18</v>
      </c>
      <c r="B433" t="s">
        <v>55</v>
      </c>
      <c r="C433" s="22">
        <v>46057</v>
      </c>
      <c r="D433" s="23">
        <v>34417</v>
      </c>
    </row>
    <row r="434" spans="1:4">
      <c r="A434" t="s">
        <v>18</v>
      </c>
      <c r="B434" t="s">
        <v>64</v>
      </c>
      <c r="C434" s="22">
        <v>46057</v>
      </c>
      <c r="D434" s="23">
        <v>49749</v>
      </c>
    </row>
    <row r="435" spans="1:4">
      <c r="A435" t="s">
        <v>18</v>
      </c>
      <c r="B435" t="s">
        <v>260</v>
      </c>
      <c r="C435" s="22">
        <v>46057</v>
      </c>
      <c r="D435" s="23">
        <v>51384</v>
      </c>
    </row>
    <row r="436" spans="1:4">
      <c r="A436" t="s">
        <v>18</v>
      </c>
      <c r="B436" t="s">
        <v>171</v>
      </c>
      <c r="C436" s="22">
        <v>46057</v>
      </c>
      <c r="D436" s="23">
        <v>34361</v>
      </c>
    </row>
    <row r="437" spans="1:4">
      <c r="A437" t="s">
        <v>18</v>
      </c>
      <c r="B437" t="s">
        <v>139</v>
      </c>
      <c r="C437" s="22">
        <v>46057</v>
      </c>
      <c r="D437" s="23">
        <v>26795</v>
      </c>
    </row>
    <row r="438" spans="1:4">
      <c r="A438" t="s">
        <v>18</v>
      </c>
      <c r="B438" t="s">
        <v>139</v>
      </c>
      <c r="C438" s="22">
        <v>46057</v>
      </c>
      <c r="D438" s="23">
        <v>25950</v>
      </c>
    </row>
    <row r="439" spans="1:4">
      <c r="A439" t="s">
        <v>18</v>
      </c>
      <c r="B439" t="s">
        <v>224</v>
      </c>
      <c r="C439" s="22">
        <v>46057</v>
      </c>
      <c r="D439" s="23">
        <v>42291</v>
      </c>
    </row>
    <row r="440" spans="1:4">
      <c r="A440" t="s">
        <v>21</v>
      </c>
      <c r="B440" t="s">
        <v>47</v>
      </c>
      <c r="C440" s="22">
        <v>46058</v>
      </c>
      <c r="D440" s="23">
        <v>35733</v>
      </c>
    </row>
    <row r="441" spans="1:4">
      <c r="A441" t="s">
        <v>21</v>
      </c>
      <c r="B441" t="s">
        <v>174</v>
      </c>
      <c r="C441" s="22">
        <v>46058</v>
      </c>
      <c r="D441" s="23">
        <v>26048</v>
      </c>
    </row>
    <row r="442" spans="1:4">
      <c r="A442" t="s">
        <v>21</v>
      </c>
      <c r="B442" t="s">
        <v>131</v>
      </c>
      <c r="C442" s="22">
        <v>46058</v>
      </c>
      <c r="D442" s="23">
        <v>43798</v>
      </c>
    </row>
    <row r="443" spans="1:4">
      <c r="A443" t="s">
        <v>26</v>
      </c>
      <c r="B443" t="s">
        <v>48</v>
      </c>
      <c r="C443" s="22">
        <v>46058</v>
      </c>
      <c r="D443" s="23">
        <v>19849</v>
      </c>
    </row>
    <row r="444" spans="1:4">
      <c r="A444" t="s">
        <v>27</v>
      </c>
      <c r="B444" t="s">
        <v>152</v>
      </c>
      <c r="C444" s="22">
        <v>46058</v>
      </c>
      <c r="D444" s="23">
        <v>12286</v>
      </c>
    </row>
    <row r="445" spans="1:4">
      <c r="A445" t="s">
        <v>29</v>
      </c>
      <c r="B445" t="s">
        <v>222</v>
      </c>
      <c r="C445" s="22">
        <v>46058</v>
      </c>
      <c r="D445" s="23">
        <v>9695</v>
      </c>
    </row>
    <row r="446" spans="1:4">
      <c r="A446" t="s">
        <v>22</v>
      </c>
      <c r="B446" t="s">
        <v>135</v>
      </c>
      <c r="C446" s="22">
        <v>46058</v>
      </c>
      <c r="D446" s="23">
        <v>44903</v>
      </c>
    </row>
    <row r="447" spans="1:4">
      <c r="A447" t="s">
        <v>20</v>
      </c>
      <c r="B447" t="s">
        <v>89</v>
      </c>
      <c r="C447" s="22">
        <v>46058</v>
      </c>
      <c r="D447" s="23">
        <v>32692</v>
      </c>
    </row>
    <row r="448" spans="1:4">
      <c r="A448" t="s">
        <v>20</v>
      </c>
      <c r="B448" t="s">
        <v>115</v>
      </c>
      <c r="C448" s="22">
        <v>46058</v>
      </c>
      <c r="D448" s="23">
        <v>31966</v>
      </c>
    </row>
    <row r="449" spans="1:4">
      <c r="A449" t="s">
        <v>20</v>
      </c>
      <c r="B449" t="s">
        <v>91</v>
      </c>
      <c r="C449" s="22">
        <v>46058</v>
      </c>
      <c r="D449" s="23">
        <v>33880</v>
      </c>
    </row>
    <row r="450" spans="1:4">
      <c r="A450" t="s">
        <v>20</v>
      </c>
      <c r="B450" t="s">
        <v>91</v>
      </c>
      <c r="C450" s="22">
        <v>46058</v>
      </c>
      <c r="D450" s="23">
        <v>39866</v>
      </c>
    </row>
    <row r="451" spans="1:4">
      <c r="A451" t="s">
        <v>18</v>
      </c>
      <c r="B451" t="s">
        <v>105</v>
      </c>
      <c r="C451" s="22">
        <v>46058</v>
      </c>
      <c r="D451" s="23">
        <v>42722</v>
      </c>
    </row>
    <row r="452" spans="1:4">
      <c r="A452" t="s">
        <v>18</v>
      </c>
      <c r="B452" t="s">
        <v>56</v>
      </c>
      <c r="C452" s="22">
        <v>46058</v>
      </c>
      <c r="D452" s="23">
        <v>46788</v>
      </c>
    </row>
    <row r="453" spans="1:4">
      <c r="A453" t="s">
        <v>18</v>
      </c>
      <c r="B453" t="s">
        <v>84</v>
      </c>
      <c r="C453" s="22">
        <v>46058</v>
      </c>
      <c r="D453" s="23">
        <v>48220</v>
      </c>
    </row>
    <row r="454" spans="1:4">
      <c r="A454" t="s">
        <v>18</v>
      </c>
      <c r="B454" t="s">
        <v>68</v>
      </c>
      <c r="C454" s="22">
        <v>46058</v>
      </c>
      <c r="D454" s="23">
        <v>54384</v>
      </c>
    </row>
    <row r="455" spans="1:4">
      <c r="A455" t="s">
        <v>18</v>
      </c>
      <c r="B455" t="s">
        <v>192</v>
      </c>
      <c r="C455" s="22">
        <v>46058</v>
      </c>
      <c r="D455" s="23">
        <v>33853</v>
      </c>
    </row>
    <row r="456" spans="1:4">
      <c r="A456" t="s">
        <v>18</v>
      </c>
      <c r="B456" t="s">
        <v>172</v>
      </c>
      <c r="C456" s="22">
        <v>46058</v>
      </c>
      <c r="D456" s="23">
        <v>52727</v>
      </c>
    </row>
    <row r="457" spans="1:4">
      <c r="A457" t="s">
        <v>18</v>
      </c>
      <c r="B457" t="s">
        <v>138</v>
      </c>
      <c r="C457" s="22">
        <v>46058</v>
      </c>
      <c r="D457" s="23">
        <v>34884</v>
      </c>
    </row>
    <row r="458" spans="1:4">
      <c r="A458" t="s">
        <v>32</v>
      </c>
      <c r="B458" t="s">
        <v>149</v>
      </c>
      <c r="C458" s="22">
        <v>46059</v>
      </c>
      <c r="D458" s="23">
        <v>13184</v>
      </c>
    </row>
    <row r="459" spans="1:4">
      <c r="A459" t="s">
        <v>29</v>
      </c>
      <c r="B459" t="s">
        <v>124</v>
      </c>
      <c r="C459" s="22">
        <v>46059</v>
      </c>
      <c r="D459" s="23">
        <v>24990</v>
      </c>
    </row>
    <row r="460" spans="1:4">
      <c r="A460" t="s">
        <v>22</v>
      </c>
      <c r="B460" t="s">
        <v>268</v>
      </c>
      <c r="C460" s="22">
        <v>46059</v>
      </c>
      <c r="D460" s="23">
        <v>30751</v>
      </c>
    </row>
    <row r="461" spans="1:4">
      <c r="A461" t="s">
        <v>22</v>
      </c>
      <c r="B461" t="s">
        <v>116</v>
      </c>
      <c r="C461" s="22">
        <v>46059</v>
      </c>
      <c r="D461" s="23">
        <v>31655</v>
      </c>
    </row>
    <row r="462" spans="1:4">
      <c r="A462" t="s">
        <v>20</v>
      </c>
      <c r="B462" t="s">
        <v>158</v>
      </c>
      <c r="C462" s="22">
        <v>46059</v>
      </c>
      <c r="D462" s="23">
        <v>27789</v>
      </c>
    </row>
    <row r="463" spans="1:4">
      <c r="A463" t="s">
        <v>20</v>
      </c>
      <c r="B463" t="s">
        <v>161</v>
      </c>
      <c r="C463" s="22">
        <v>46059</v>
      </c>
      <c r="D463" s="23">
        <v>36920</v>
      </c>
    </row>
    <row r="464" spans="1:4">
      <c r="A464" t="s">
        <v>18</v>
      </c>
      <c r="B464" t="s">
        <v>66</v>
      </c>
      <c r="C464" s="22">
        <v>46059</v>
      </c>
      <c r="D464" s="23">
        <v>42990</v>
      </c>
    </row>
    <row r="465" spans="1:4">
      <c r="A465" t="s">
        <v>18</v>
      </c>
      <c r="B465" t="s">
        <v>59</v>
      </c>
      <c r="C465" s="22">
        <v>46059</v>
      </c>
      <c r="D465" s="23">
        <v>44612</v>
      </c>
    </row>
    <row r="466" spans="1:4">
      <c r="A466" t="s">
        <v>18</v>
      </c>
      <c r="B466" t="s">
        <v>84</v>
      </c>
      <c r="C466" s="22">
        <v>46059</v>
      </c>
      <c r="D466" s="23">
        <v>47816</v>
      </c>
    </row>
    <row r="467" spans="1:4">
      <c r="A467" t="s">
        <v>18</v>
      </c>
      <c r="B467" t="s">
        <v>68</v>
      </c>
      <c r="C467" s="22">
        <v>46059</v>
      </c>
      <c r="D467" s="23">
        <v>39779</v>
      </c>
    </row>
    <row r="468" spans="1:4">
      <c r="A468" t="s">
        <v>27</v>
      </c>
      <c r="B468" t="s">
        <v>266</v>
      </c>
      <c r="C468" s="22">
        <v>46060</v>
      </c>
      <c r="D468" s="23">
        <v>5200</v>
      </c>
    </row>
    <row r="469" spans="1:4">
      <c r="A469" t="s">
        <v>25</v>
      </c>
      <c r="B469" t="s">
        <v>113</v>
      </c>
      <c r="C469" s="22">
        <v>46060</v>
      </c>
      <c r="D469" s="23">
        <v>19383</v>
      </c>
    </row>
    <row r="470" spans="1:4">
      <c r="A470" t="s">
        <v>20</v>
      </c>
      <c r="B470" t="s">
        <v>189</v>
      </c>
      <c r="C470" s="22">
        <v>46060</v>
      </c>
      <c r="D470" s="23">
        <v>26818</v>
      </c>
    </row>
    <row r="471" spans="1:4">
      <c r="A471" t="s">
        <v>20</v>
      </c>
      <c r="B471" t="s">
        <v>161</v>
      </c>
      <c r="C471" s="22">
        <v>46060</v>
      </c>
      <c r="D471" s="23">
        <v>40163</v>
      </c>
    </row>
    <row r="472" spans="1:4">
      <c r="A472" t="s">
        <v>18</v>
      </c>
      <c r="B472" t="s">
        <v>64</v>
      </c>
      <c r="C472" s="22">
        <v>46060</v>
      </c>
      <c r="D472" s="23">
        <v>41504</v>
      </c>
    </row>
    <row r="473" spans="1:4">
      <c r="A473" t="s">
        <v>18</v>
      </c>
      <c r="B473" t="s">
        <v>190</v>
      </c>
      <c r="C473" s="22">
        <v>46060</v>
      </c>
      <c r="D473" s="23">
        <v>35061</v>
      </c>
    </row>
    <row r="474" spans="1:4">
      <c r="A474" t="s">
        <v>18</v>
      </c>
      <c r="B474" t="s">
        <v>260</v>
      </c>
      <c r="C474" s="22">
        <v>46060</v>
      </c>
      <c r="D474" s="23">
        <v>43443</v>
      </c>
    </row>
    <row r="475" spans="1:4">
      <c r="A475" t="s">
        <v>18</v>
      </c>
      <c r="B475" t="s">
        <v>96</v>
      </c>
      <c r="C475" s="22">
        <v>46060</v>
      </c>
      <c r="D475" s="23">
        <v>32472</v>
      </c>
    </row>
    <row r="476" spans="1:4">
      <c r="A476" t="s">
        <v>18</v>
      </c>
      <c r="B476" t="s">
        <v>85</v>
      </c>
      <c r="C476" s="22">
        <v>46060</v>
      </c>
      <c r="D476" s="23">
        <v>43593</v>
      </c>
    </row>
    <row r="477" spans="1:4">
      <c r="A477" t="s">
        <v>18</v>
      </c>
      <c r="B477" t="s">
        <v>57</v>
      </c>
      <c r="C477" s="22">
        <v>46060</v>
      </c>
      <c r="D477" s="23">
        <v>41902</v>
      </c>
    </row>
    <row r="478" spans="1:4">
      <c r="A478" t="s">
        <v>18</v>
      </c>
      <c r="B478" t="s">
        <v>208</v>
      </c>
      <c r="C478" s="22">
        <v>46060</v>
      </c>
      <c r="D478" s="23">
        <v>50112</v>
      </c>
    </row>
    <row r="479" spans="1:4">
      <c r="A479" t="s">
        <v>18</v>
      </c>
      <c r="B479" t="s">
        <v>71</v>
      </c>
      <c r="C479" s="22">
        <v>46060</v>
      </c>
      <c r="D479" s="23">
        <v>50345</v>
      </c>
    </row>
    <row r="480" spans="1:4">
      <c r="A480" t="s">
        <v>18</v>
      </c>
      <c r="B480" t="s">
        <v>107</v>
      </c>
      <c r="C480" s="22">
        <v>46060</v>
      </c>
      <c r="D480" s="23">
        <v>44330</v>
      </c>
    </row>
    <row r="481" spans="1:4">
      <c r="A481" t="s">
        <v>23</v>
      </c>
      <c r="B481" t="s">
        <v>264</v>
      </c>
      <c r="C481" s="22">
        <v>46061</v>
      </c>
      <c r="D481" s="23">
        <v>24889</v>
      </c>
    </row>
    <row r="482" spans="1:4">
      <c r="A482" t="s">
        <v>22</v>
      </c>
      <c r="B482" t="s">
        <v>223</v>
      </c>
      <c r="C482" s="22">
        <v>46061</v>
      </c>
      <c r="D482" s="23">
        <v>24025</v>
      </c>
    </row>
    <row r="483" spans="1:4">
      <c r="A483" t="s">
        <v>20</v>
      </c>
      <c r="B483" t="s">
        <v>250</v>
      </c>
      <c r="C483" s="22">
        <v>46061</v>
      </c>
      <c r="D483" s="23">
        <v>31262</v>
      </c>
    </row>
    <row r="484" spans="1:4">
      <c r="A484" t="s">
        <v>20</v>
      </c>
      <c r="B484" t="s">
        <v>116</v>
      </c>
      <c r="C484" s="22">
        <v>46061</v>
      </c>
      <c r="D484" s="23">
        <v>30865</v>
      </c>
    </row>
    <row r="485" spans="1:4">
      <c r="A485" t="s">
        <v>20</v>
      </c>
      <c r="B485" t="s">
        <v>191</v>
      </c>
      <c r="C485" s="22">
        <v>46061</v>
      </c>
      <c r="D485" s="23">
        <v>56696</v>
      </c>
    </row>
    <row r="486" spans="1:4">
      <c r="A486" t="s">
        <v>20</v>
      </c>
      <c r="B486" t="s">
        <v>91</v>
      </c>
      <c r="C486" s="22">
        <v>46061</v>
      </c>
      <c r="D486" s="23">
        <v>40731</v>
      </c>
    </row>
    <row r="487" spans="1:4">
      <c r="A487" t="s">
        <v>18</v>
      </c>
      <c r="B487" t="s">
        <v>190</v>
      </c>
      <c r="C487" s="22">
        <v>46061</v>
      </c>
      <c r="D487" s="23">
        <v>41407</v>
      </c>
    </row>
    <row r="488" spans="1:4">
      <c r="A488" t="s">
        <v>18</v>
      </c>
      <c r="B488" t="s">
        <v>171</v>
      </c>
      <c r="C488" s="22">
        <v>46061</v>
      </c>
      <c r="D488" s="23">
        <v>33204</v>
      </c>
    </row>
    <row r="489" spans="1:4">
      <c r="A489" t="s">
        <v>18</v>
      </c>
      <c r="B489" t="s">
        <v>172</v>
      </c>
      <c r="C489" s="22">
        <v>46061</v>
      </c>
      <c r="D489" s="23">
        <v>54029</v>
      </c>
    </row>
    <row r="490" spans="1:4">
      <c r="A490" t="s">
        <v>18</v>
      </c>
      <c r="B490" t="s">
        <v>71</v>
      </c>
      <c r="C490" s="22">
        <v>46061</v>
      </c>
      <c r="D490" s="23">
        <v>32404</v>
      </c>
    </row>
    <row r="491" spans="1:4">
      <c r="A491" t="s">
        <v>21</v>
      </c>
      <c r="B491" t="s">
        <v>259</v>
      </c>
      <c r="C491" s="22">
        <v>46062</v>
      </c>
      <c r="D491" s="23">
        <v>23596</v>
      </c>
    </row>
    <row r="492" spans="1:4">
      <c r="A492" t="s">
        <v>21</v>
      </c>
      <c r="B492" t="s">
        <v>163</v>
      </c>
      <c r="C492" s="22">
        <v>46062</v>
      </c>
      <c r="D492" s="23">
        <v>18332</v>
      </c>
    </row>
    <row r="493" spans="1:4">
      <c r="A493" t="s">
        <v>31</v>
      </c>
      <c r="B493" t="s">
        <v>60</v>
      </c>
      <c r="C493" s="22">
        <v>46062</v>
      </c>
      <c r="D493" s="23">
        <v>13309</v>
      </c>
    </row>
    <row r="494" spans="1:4">
      <c r="A494" t="s">
        <v>31</v>
      </c>
      <c r="B494" t="s">
        <v>49</v>
      </c>
      <c r="C494" s="22">
        <v>46062</v>
      </c>
      <c r="D494" s="23">
        <v>12055</v>
      </c>
    </row>
    <row r="495" spans="1:4">
      <c r="A495" t="s">
        <v>23</v>
      </c>
      <c r="B495" t="s">
        <v>282</v>
      </c>
      <c r="C495" s="22">
        <v>46062</v>
      </c>
      <c r="D495" s="23">
        <v>23733</v>
      </c>
    </row>
    <row r="496" spans="1:4">
      <c r="A496" t="s">
        <v>22</v>
      </c>
      <c r="B496" t="s">
        <v>248</v>
      </c>
      <c r="C496" s="22">
        <v>46062</v>
      </c>
      <c r="D496" s="23">
        <v>22710</v>
      </c>
    </row>
    <row r="497" spans="1:4">
      <c r="A497" t="s">
        <v>22</v>
      </c>
      <c r="B497" t="s">
        <v>137</v>
      </c>
      <c r="C497" s="22">
        <v>46062</v>
      </c>
      <c r="D497" s="23">
        <v>20415</v>
      </c>
    </row>
    <row r="498" spans="1:4">
      <c r="A498" t="s">
        <v>20</v>
      </c>
      <c r="B498" t="s">
        <v>144</v>
      </c>
      <c r="C498" s="22">
        <v>46062</v>
      </c>
      <c r="D498" s="23">
        <v>44952</v>
      </c>
    </row>
    <row r="499" spans="1:4">
      <c r="A499" t="s">
        <v>20</v>
      </c>
      <c r="B499" t="s">
        <v>89</v>
      </c>
      <c r="C499" s="22">
        <v>46062</v>
      </c>
      <c r="D499" s="23">
        <v>29885</v>
      </c>
    </row>
    <row r="500" spans="1:4">
      <c r="A500" t="s">
        <v>18</v>
      </c>
      <c r="B500" t="s">
        <v>55</v>
      </c>
      <c r="C500" s="22">
        <v>46062</v>
      </c>
      <c r="D500" s="23">
        <v>43699</v>
      </c>
    </row>
    <row r="501" spans="1:4">
      <c r="A501" t="s">
        <v>18</v>
      </c>
      <c r="B501" t="s">
        <v>67</v>
      </c>
      <c r="C501" s="22">
        <v>46062</v>
      </c>
      <c r="D501" s="23">
        <v>40360</v>
      </c>
    </row>
    <row r="502" spans="1:4">
      <c r="A502" t="s">
        <v>18</v>
      </c>
      <c r="B502" t="s">
        <v>94</v>
      </c>
      <c r="C502" s="22">
        <v>46062</v>
      </c>
      <c r="D502" s="23">
        <v>46651</v>
      </c>
    </row>
    <row r="503" spans="1:4">
      <c r="A503" t="s">
        <v>18</v>
      </c>
      <c r="B503" t="s">
        <v>224</v>
      </c>
      <c r="C503" s="22">
        <v>46062</v>
      </c>
      <c r="D503" s="23">
        <v>48465</v>
      </c>
    </row>
    <row r="504" spans="1:4">
      <c r="A504" t="s">
        <v>21</v>
      </c>
      <c r="B504" t="s">
        <v>164</v>
      </c>
      <c r="C504" s="22">
        <v>46063</v>
      </c>
      <c r="D504" s="23">
        <v>41379</v>
      </c>
    </row>
    <row r="505" spans="1:4">
      <c r="A505" t="s">
        <v>27</v>
      </c>
      <c r="B505" t="s">
        <v>100</v>
      </c>
      <c r="C505" s="22">
        <v>46063</v>
      </c>
      <c r="D505" s="23">
        <v>17890</v>
      </c>
    </row>
    <row r="506" spans="1:4">
      <c r="A506" t="s">
        <v>25</v>
      </c>
      <c r="B506" t="s">
        <v>180</v>
      </c>
      <c r="C506" s="22">
        <v>46063</v>
      </c>
      <c r="D506" s="23">
        <v>36408</v>
      </c>
    </row>
    <row r="507" spans="1:4">
      <c r="A507" t="s">
        <v>25</v>
      </c>
      <c r="B507" t="s">
        <v>233</v>
      </c>
      <c r="C507" s="22">
        <v>46063</v>
      </c>
      <c r="D507" s="23">
        <v>19500</v>
      </c>
    </row>
    <row r="508" spans="1:4">
      <c r="A508" t="s">
        <v>25</v>
      </c>
      <c r="B508" t="s">
        <v>275</v>
      </c>
      <c r="C508" s="22">
        <v>46063</v>
      </c>
      <c r="D508" s="23">
        <v>34376</v>
      </c>
    </row>
    <row r="509" spans="1:4">
      <c r="A509" t="s">
        <v>22</v>
      </c>
      <c r="B509" t="s">
        <v>234</v>
      </c>
      <c r="C509" s="22">
        <v>46063</v>
      </c>
      <c r="D509" s="23">
        <v>32677</v>
      </c>
    </row>
    <row r="510" spans="1:4">
      <c r="A510" t="s">
        <v>20</v>
      </c>
      <c r="B510" t="s">
        <v>90</v>
      </c>
      <c r="C510" s="22">
        <v>46063</v>
      </c>
      <c r="D510" s="23">
        <v>23407</v>
      </c>
    </row>
    <row r="511" spans="1:4">
      <c r="A511" t="s">
        <v>20</v>
      </c>
      <c r="B511" t="s">
        <v>229</v>
      </c>
      <c r="C511" s="22">
        <v>46063</v>
      </c>
      <c r="D511" s="23">
        <v>24918</v>
      </c>
    </row>
    <row r="512" spans="1:4">
      <c r="A512" t="s">
        <v>20</v>
      </c>
      <c r="B512" t="s">
        <v>215</v>
      </c>
      <c r="C512" s="22">
        <v>46063</v>
      </c>
      <c r="D512" s="23">
        <v>26118</v>
      </c>
    </row>
    <row r="513" spans="1:4">
      <c r="A513" t="s">
        <v>18</v>
      </c>
      <c r="B513" t="s">
        <v>200</v>
      </c>
      <c r="C513" s="22">
        <v>46063</v>
      </c>
      <c r="D513" s="23">
        <v>36201</v>
      </c>
    </row>
    <row r="514" spans="1:4">
      <c r="A514" t="s">
        <v>18</v>
      </c>
      <c r="B514" t="s">
        <v>84</v>
      </c>
      <c r="C514" s="22">
        <v>46063</v>
      </c>
      <c r="D514" s="23">
        <v>38259</v>
      </c>
    </row>
    <row r="515" spans="1:4">
      <c r="A515" t="s">
        <v>18</v>
      </c>
      <c r="B515" t="s">
        <v>96</v>
      </c>
      <c r="C515" s="22">
        <v>46063</v>
      </c>
      <c r="D515" s="23">
        <v>35814</v>
      </c>
    </row>
    <row r="516" spans="1:4">
      <c r="A516" t="s">
        <v>18</v>
      </c>
      <c r="B516" t="s">
        <v>192</v>
      </c>
      <c r="C516" s="22">
        <v>46063</v>
      </c>
      <c r="D516" s="23">
        <v>52084</v>
      </c>
    </row>
    <row r="517" spans="1:4">
      <c r="A517" t="s">
        <v>18</v>
      </c>
      <c r="B517" t="s">
        <v>173</v>
      </c>
      <c r="C517" s="22">
        <v>46063</v>
      </c>
      <c r="D517" s="23">
        <v>36999</v>
      </c>
    </row>
    <row r="518" spans="1:4">
      <c r="A518" t="s">
        <v>18</v>
      </c>
      <c r="B518" t="s">
        <v>86</v>
      </c>
      <c r="C518" s="22">
        <v>46063</v>
      </c>
      <c r="D518" s="23">
        <v>46592</v>
      </c>
    </row>
    <row r="519" spans="1:4">
      <c r="A519" t="s">
        <v>26</v>
      </c>
      <c r="B519" t="s">
        <v>175</v>
      </c>
      <c r="C519" s="22">
        <v>46064</v>
      </c>
      <c r="D519" s="23">
        <v>17022</v>
      </c>
    </row>
    <row r="520" spans="1:4">
      <c r="A520" t="s">
        <v>26</v>
      </c>
      <c r="B520" t="s">
        <v>270</v>
      </c>
      <c r="C520" s="22">
        <v>46064</v>
      </c>
      <c r="D520" s="23">
        <v>29360</v>
      </c>
    </row>
    <row r="521" spans="1:4">
      <c r="A521" t="s">
        <v>32</v>
      </c>
      <c r="B521" t="s">
        <v>178</v>
      </c>
      <c r="C521" s="22">
        <v>46064</v>
      </c>
      <c r="D521" s="23">
        <v>17272</v>
      </c>
    </row>
    <row r="522" spans="1:4">
      <c r="A522" t="s">
        <v>25</v>
      </c>
      <c r="B522" t="s">
        <v>274</v>
      </c>
      <c r="C522" s="22">
        <v>46064</v>
      </c>
      <c r="D522" s="23">
        <v>19624</v>
      </c>
    </row>
    <row r="523" spans="1:4">
      <c r="A523" t="s">
        <v>22</v>
      </c>
      <c r="B523" t="s">
        <v>184</v>
      </c>
      <c r="C523" s="22">
        <v>46064</v>
      </c>
      <c r="D523" s="23">
        <v>25011</v>
      </c>
    </row>
    <row r="524" spans="1:4">
      <c r="A524" t="s">
        <v>20</v>
      </c>
      <c r="B524" t="s">
        <v>115</v>
      </c>
      <c r="C524" s="22">
        <v>46064</v>
      </c>
      <c r="D524" s="23">
        <v>41031</v>
      </c>
    </row>
    <row r="525" spans="1:4">
      <c r="A525" t="s">
        <v>18</v>
      </c>
      <c r="B525" t="s">
        <v>69</v>
      </c>
      <c r="C525" s="22">
        <v>46064</v>
      </c>
      <c r="D525" s="23">
        <v>37127</v>
      </c>
    </row>
    <row r="526" spans="1:4">
      <c r="A526" t="s">
        <v>18</v>
      </c>
      <c r="B526" t="s">
        <v>58</v>
      </c>
      <c r="C526" s="22">
        <v>46064</v>
      </c>
      <c r="D526" s="23">
        <v>32953</v>
      </c>
    </row>
    <row r="527" spans="1:4">
      <c r="A527" t="s">
        <v>18</v>
      </c>
      <c r="B527" t="s">
        <v>97</v>
      </c>
      <c r="C527" s="22">
        <v>46064</v>
      </c>
      <c r="D527" s="23">
        <v>48403</v>
      </c>
    </row>
    <row r="528" spans="1:4">
      <c r="A528" t="s">
        <v>28</v>
      </c>
      <c r="B528" t="s">
        <v>202</v>
      </c>
      <c r="C528" s="22">
        <v>46065</v>
      </c>
      <c r="D528" s="23">
        <v>28452</v>
      </c>
    </row>
    <row r="529" spans="1:4">
      <c r="A529" t="s">
        <v>39</v>
      </c>
      <c r="B529" t="s">
        <v>74</v>
      </c>
      <c r="C529" s="22">
        <v>46065</v>
      </c>
      <c r="D529" s="23">
        <v>19501</v>
      </c>
    </row>
    <row r="530" spans="1:4">
      <c r="A530" t="s">
        <v>21</v>
      </c>
      <c r="B530" t="s">
        <v>93</v>
      </c>
      <c r="C530" s="22">
        <v>46065</v>
      </c>
      <c r="D530" s="23">
        <v>46381</v>
      </c>
    </row>
    <row r="531" spans="1:4">
      <c r="A531" t="s">
        <v>21</v>
      </c>
      <c r="B531" t="s">
        <v>119</v>
      </c>
      <c r="C531" s="22">
        <v>46065</v>
      </c>
      <c r="D531" s="23">
        <v>38524</v>
      </c>
    </row>
    <row r="532" spans="1:4">
      <c r="A532" t="s">
        <v>20</v>
      </c>
      <c r="B532" t="s">
        <v>64</v>
      </c>
      <c r="C532" s="22">
        <v>46065</v>
      </c>
      <c r="D532" s="23">
        <v>47258</v>
      </c>
    </row>
    <row r="533" spans="1:4">
      <c r="A533" t="s">
        <v>20</v>
      </c>
      <c r="B533" t="s">
        <v>127</v>
      </c>
      <c r="C533" s="22">
        <v>46065</v>
      </c>
      <c r="D533" s="23">
        <v>46955</v>
      </c>
    </row>
    <row r="534" spans="1:4">
      <c r="A534" t="s">
        <v>20</v>
      </c>
      <c r="B534" t="s">
        <v>104</v>
      </c>
      <c r="C534" s="22">
        <v>46065</v>
      </c>
      <c r="D534" s="23">
        <v>39191</v>
      </c>
    </row>
    <row r="535" spans="1:4">
      <c r="A535" t="s">
        <v>18</v>
      </c>
      <c r="B535" t="s">
        <v>94</v>
      </c>
      <c r="C535" s="22">
        <v>46065</v>
      </c>
      <c r="D535" s="23">
        <v>44796</v>
      </c>
    </row>
    <row r="536" spans="1:4">
      <c r="A536" t="s">
        <v>18</v>
      </c>
      <c r="B536" t="s">
        <v>86</v>
      </c>
      <c r="C536" s="22">
        <v>46065</v>
      </c>
      <c r="D536" s="23">
        <v>35402</v>
      </c>
    </row>
    <row r="537" spans="1:4">
      <c r="A537" t="s">
        <v>18</v>
      </c>
      <c r="B537" t="s">
        <v>97</v>
      </c>
      <c r="C537" s="22">
        <v>46065</v>
      </c>
      <c r="D537" s="23">
        <v>38899</v>
      </c>
    </row>
    <row r="538" spans="1:4">
      <c r="A538" t="s">
        <v>21</v>
      </c>
      <c r="B538" t="s">
        <v>251</v>
      </c>
      <c r="C538" s="22">
        <v>46066</v>
      </c>
      <c r="D538" s="23">
        <v>40229</v>
      </c>
    </row>
    <row r="539" spans="1:4">
      <c r="A539" t="s">
        <v>21</v>
      </c>
      <c r="B539" t="s">
        <v>148</v>
      </c>
      <c r="C539" s="22">
        <v>46066</v>
      </c>
      <c r="D539" s="23">
        <v>42627</v>
      </c>
    </row>
    <row r="540" spans="1:4">
      <c r="A540" t="s">
        <v>21</v>
      </c>
      <c r="B540" t="s">
        <v>252</v>
      </c>
      <c r="C540" s="22">
        <v>46066</v>
      </c>
      <c r="D540" s="23">
        <v>28092</v>
      </c>
    </row>
    <row r="541" spans="1:4">
      <c r="A541" t="s">
        <v>26</v>
      </c>
      <c r="B541" t="s">
        <v>210</v>
      </c>
      <c r="C541" s="22">
        <v>46066</v>
      </c>
      <c r="D541" s="23">
        <v>18548</v>
      </c>
    </row>
    <row r="542" spans="1:4">
      <c r="A542" t="s">
        <v>25</v>
      </c>
      <c r="B542" t="s">
        <v>244</v>
      </c>
      <c r="C542" s="22">
        <v>46066</v>
      </c>
      <c r="D542" s="23">
        <v>26588</v>
      </c>
    </row>
    <row r="543" spans="1:4">
      <c r="A543" t="s">
        <v>25</v>
      </c>
      <c r="B543" t="s">
        <v>245</v>
      </c>
      <c r="C543" s="22">
        <v>46066</v>
      </c>
      <c r="D543" s="23">
        <v>18526</v>
      </c>
    </row>
    <row r="544" spans="1:4">
      <c r="A544" t="s">
        <v>22</v>
      </c>
      <c r="B544" t="s">
        <v>268</v>
      </c>
      <c r="C544" s="22">
        <v>46066</v>
      </c>
      <c r="D544" s="23">
        <v>27480</v>
      </c>
    </row>
    <row r="545" spans="1:4">
      <c r="A545" t="s">
        <v>22</v>
      </c>
      <c r="B545" t="s">
        <v>169</v>
      </c>
      <c r="C545" s="22">
        <v>46066</v>
      </c>
      <c r="D545" s="23">
        <v>31135</v>
      </c>
    </row>
    <row r="546" spans="1:4">
      <c r="A546" t="s">
        <v>22</v>
      </c>
      <c r="B546" t="s">
        <v>125</v>
      </c>
      <c r="C546" s="22">
        <v>46066</v>
      </c>
      <c r="D546" s="23">
        <v>34763</v>
      </c>
    </row>
    <row r="547" spans="1:4">
      <c r="A547" t="s">
        <v>20</v>
      </c>
      <c r="B547" t="s">
        <v>197</v>
      </c>
      <c r="C547" s="22">
        <v>46066</v>
      </c>
      <c r="D547" s="23">
        <v>50020</v>
      </c>
    </row>
    <row r="548" spans="1:4">
      <c r="A548" t="s">
        <v>20</v>
      </c>
      <c r="B548" t="s">
        <v>192</v>
      </c>
      <c r="C548" s="22">
        <v>46066</v>
      </c>
      <c r="D548" s="23">
        <v>36026</v>
      </c>
    </row>
    <row r="549" spans="1:4">
      <c r="A549" t="s">
        <v>18</v>
      </c>
      <c r="B549" t="s">
        <v>93</v>
      </c>
      <c r="C549" s="22">
        <v>46066</v>
      </c>
      <c r="D549" s="23">
        <v>48023</v>
      </c>
    </row>
    <row r="550" spans="1:4">
      <c r="A550" t="s">
        <v>18</v>
      </c>
      <c r="B550" t="s">
        <v>72</v>
      </c>
      <c r="C550" s="22">
        <v>46066</v>
      </c>
      <c r="D550" s="23">
        <v>47660</v>
      </c>
    </row>
    <row r="551" spans="1:4">
      <c r="A551" t="s">
        <v>28</v>
      </c>
      <c r="B551" t="s">
        <v>201</v>
      </c>
      <c r="C551" s="22">
        <v>46067</v>
      </c>
      <c r="D551" s="23">
        <v>15031</v>
      </c>
    </row>
    <row r="552" spans="1:4">
      <c r="A552" t="s">
        <v>27</v>
      </c>
      <c r="B552" t="s">
        <v>166</v>
      </c>
      <c r="C552" s="22">
        <v>46067</v>
      </c>
      <c r="D552" s="23">
        <v>15704</v>
      </c>
    </row>
    <row r="553" spans="1:4">
      <c r="A553" t="s">
        <v>32</v>
      </c>
      <c r="B553" t="s">
        <v>179</v>
      </c>
      <c r="C553" s="22">
        <v>46067</v>
      </c>
      <c r="D553" s="23">
        <v>15437</v>
      </c>
    </row>
    <row r="554" spans="1:4">
      <c r="A554" t="s">
        <v>25</v>
      </c>
      <c r="B554" t="s">
        <v>181</v>
      </c>
      <c r="C554" s="22">
        <v>46067</v>
      </c>
      <c r="D554" s="23">
        <v>19479</v>
      </c>
    </row>
    <row r="555" spans="1:4">
      <c r="A555" t="s">
        <v>36</v>
      </c>
      <c r="B555" t="s">
        <v>101</v>
      </c>
      <c r="C555" s="22">
        <v>46067</v>
      </c>
      <c r="D555" s="23">
        <v>23207</v>
      </c>
    </row>
    <row r="556" spans="1:4">
      <c r="A556" t="s">
        <v>23</v>
      </c>
      <c r="B556" t="s">
        <v>63</v>
      </c>
      <c r="C556" s="22">
        <v>46067</v>
      </c>
      <c r="D556" s="23">
        <v>36126</v>
      </c>
    </row>
    <row r="557" spans="1:4">
      <c r="A557" t="s">
        <v>22</v>
      </c>
      <c r="B557" t="s">
        <v>153</v>
      </c>
      <c r="C557" s="22">
        <v>46067</v>
      </c>
      <c r="D557" s="23">
        <v>28443</v>
      </c>
    </row>
    <row r="558" spans="1:4">
      <c r="A558" t="s">
        <v>20</v>
      </c>
      <c r="B558" t="s">
        <v>206</v>
      </c>
      <c r="C558" s="22">
        <v>46067</v>
      </c>
      <c r="D558" s="23">
        <v>32866</v>
      </c>
    </row>
    <row r="559" spans="1:4">
      <c r="A559" t="s">
        <v>20</v>
      </c>
      <c r="B559" t="s">
        <v>91</v>
      </c>
      <c r="C559" s="22">
        <v>46067</v>
      </c>
      <c r="D559" s="23">
        <v>31791</v>
      </c>
    </row>
    <row r="560" spans="1:4">
      <c r="A560" t="s">
        <v>18</v>
      </c>
      <c r="B560" t="s">
        <v>106</v>
      </c>
      <c r="C560" s="22">
        <v>46067</v>
      </c>
      <c r="D560" s="23">
        <v>29429</v>
      </c>
    </row>
    <row r="561" spans="1:4">
      <c r="A561" t="s">
        <v>18</v>
      </c>
      <c r="B561" t="s">
        <v>192</v>
      </c>
      <c r="C561" s="22">
        <v>46067</v>
      </c>
      <c r="D561" s="23">
        <v>38771</v>
      </c>
    </row>
    <row r="562" spans="1:4">
      <c r="A562" t="s">
        <v>18</v>
      </c>
      <c r="B562" t="s">
        <v>71</v>
      </c>
      <c r="C562" s="22">
        <v>46067</v>
      </c>
      <c r="D562" s="23">
        <v>41982</v>
      </c>
    </row>
    <row r="563" spans="1:4">
      <c r="A563" t="s">
        <v>21</v>
      </c>
      <c r="B563" t="s">
        <v>219</v>
      </c>
      <c r="C563" s="22">
        <v>46068</v>
      </c>
      <c r="D563" s="23">
        <v>31056</v>
      </c>
    </row>
    <row r="564" spans="1:4">
      <c r="A564" t="s">
        <v>21</v>
      </c>
      <c r="B564" t="s">
        <v>192</v>
      </c>
      <c r="C564" s="22">
        <v>46068</v>
      </c>
      <c r="D564" s="23">
        <v>47826</v>
      </c>
    </row>
    <row r="565" spans="1:4">
      <c r="A565" t="s">
        <v>27</v>
      </c>
      <c r="B565" t="s">
        <v>279</v>
      </c>
      <c r="C565" s="22">
        <v>46068</v>
      </c>
      <c r="D565" s="23">
        <v>21440</v>
      </c>
    </row>
    <row r="566" spans="1:4">
      <c r="A566" t="s">
        <v>25</v>
      </c>
      <c r="B566" t="s">
        <v>76</v>
      </c>
      <c r="C566" s="22">
        <v>46068</v>
      </c>
      <c r="D566" s="23">
        <v>22006</v>
      </c>
    </row>
    <row r="567" spans="1:4">
      <c r="A567" t="s">
        <v>25</v>
      </c>
      <c r="B567" t="s">
        <v>132</v>
      </c>
      <c r="C567" s="22">
        <v>46068</v>
      </c>
      <c r="D567" s="23">
        <v>22652</v>
      </c>
    </row>
    <row r="568" spans="1:4">
      <c r="A568" t="s">
        <v>23</v>
      </c>
      <c r="B568" t="s">
        <v>212</v>
      </c>
      <c r="C568" s="22">
        <v>46068</v>
      </c>
      <c r="D568" s="23">
        <v>28811</v>
      </c>
    </row>
    <row r="569" spans="1:4">
      <c r="A569" t="s">
        <v>20</v>
      </c>
      <c r="B569" t="s">
        <v>136</v>
      </c>
      <c r="C569" s="22">
        <v>46068</v>
      </c>
      <c r="D569" s="23">
        <v>34710</v>
      </c>
    </row>
    <row r="570" spans="1:4">
      <c r="A570" t="s">
        <v>18</v>
      </c>
      <c r="B570" t="s">
        <v>56</v>
      </c>
      <c r="C570" s="22">
        <v>46068</v>
      </c>
      <c r="D570" s="23">
        <v>42443</v>
      </c>
    </row>
    <row r="571" spans="1:4">
      <c r="A571" t="s">
        <v>18</v>
      </c>
      <c r="B571" t="s">
        <v>84</v>
      </c>
      <c r="C571" s="22">
        <v>46068</v>
      </c>
      <c r="D571" s="23">
        <v>49509</v>
      </c>
    </row>
    <row r="572" spans="1:4">
      <c r="A572" t="s">
        <v>18</v>
      </c>
      <c r="B572" t="s">
        <v>96</v>
      </c>
      <c r="C572" s="22">
        <v>46068</v>
      </c>
      <c r="D572" s="23">
        <v>37772</v>
      </c>
    </row>
    <row r="573" spans="1:4">
      <c r="A573" t="s">
        <v>18</v>
      </c>
      <c r="B573" t="s">
        <v>85</v>
      </c>
      <c r="C573" s="22">
        <v>46068</v>
      </c>
      <c r="D573" s="23">
        <v>37809</v>
      </c>
    </row>
    <row r="574" spans="1:4">
      <c r="A574" t="s">
        <v>28</v>
      </c>
      <c r="B574" t="s">
        <v>185</v>
      </c>
      <c r="C574" s="22">
        <v>46069</v>
      </c>
      <c r="D574" s="23">
        <v>26555</v>
      </c>
    </row>
    <row r="575" spans="1:4">
      <c r="A575" t="s">
        <v>21</v>
      </c>
      <c r="B575" t="s">
        <v>147</v>
      </c>
      <c r="C575" s="22">
        <v>46069</v>
      </c>
      <c r="D575" s="23">
        <v>25330</v>
      </c>
    </row>
    <row r="576" spans="1:4">
      <c r="A576" t="s">
        <v>21</v>
      </c>
      <c r="B576" t="s">
        <v>250</v>
      </c>
      <c r="C576" s="22">
        <v>46069</v>
      </c>
      <c r="D576" s="23">
        <v>23597</v>
      </c>
    </row>
    <row r="577" spans="1:4">
      <c r="A577" t="s">
        <v>26</v>
      </c>
      <c r="B577" t="s">
        <v>255</v>
      </c>
      <c r="C577" s="22">
        <v>46069</v>
      </c>
      <c r="D577" s="23">
        <v>28995</v>
      </c>
    </row>
    <row r="578" spans="1:4">
      <c r="A578" t="s">
        <v>26</v>
      </c>
      <c r="B578" t="s">
        <v>220</v>
      </c>
      <c r="C578" s="22">
        <v>46069</v>
      </c>
      <c r="D578" s="23">
        <v>16889</v>
      </c>
    </row>
    <row r="579" spans="1:4">
      <c r="A579" t="s">
        <v>23</v>
      </c>
      <c r="B579" t="s">
        <v>232</v>
      </c>
      <c r="C579" s="22">
        <v>46069</v>
      </c>
      <c r="D579" s="23">
        <v>5956</v>
      </c>
    </row>
    <row r="580" spans="1:4">
      <c r="A580" t="s">
        <v>20</v>
      </c>
      <c r="B580" t="s">
        <v>82</v>
      </c>
      <c r="C580" s="22">
        <v>46069</v>
      </c>
      <c r="D580" s="23">
        <v>29245</v>
      </c>
    </row>
    <row r="581" spans="1:4">
      <c r="A581" t="s">
        <v>18</v>
      </c>
      <c r="B581" t="s">
        <v>190</v>
      </c>
      <c r="C581" s="22">
        <v>46069</v>
      </c>
      <c r="D581" s="23">
        <v>39522</v>
      </c>
    </row>
    <row r="582" spans="1:4">
      <c r="A582" t="s">
        <v>18</v>
      </c>
      <c r="B582" t="s">
        <v>94</v>
      </c>
      <c r="C582" s="22">
        <v>46069</v>
      </c>
      <c r="D582" s="23">
        <v>52685</v>
      </c>
    </row>
    <row r="583" spans="1:4">
      <c r="A583" t="s">
        <v>18</v>
      </c>
      <c r="B583" t="s">
        <v>162</v>
      </c>
      <c r="C583" s="22">
        <v>46069</v>
      </c>
      <c r="D583" s="23">
        <v>45022</v>
      </c>
    </row>
    <row r="584" spans="1:4">
      <c r="A584" t="s">
        <v>18</v>
      </c>
      <c r="B584" t="s">
        <v>173</v>
      </c>
      <c r="C584" s="22">
        <v>46069</v>
      </c>
      <c r="D584" s="23">
        <v>23433</v>
      </c>
    </row>
    <row r="585" spans="1:4">
      <c r="A585" t="s">
        <v>18</v>
      </c>
      <c r="B585" t="s">
        <v>86</v>
      </c>
      <c r="C585" s="22">
        <v>46069</v>
      </c>
      <c r="D585" s="23">
        <v>44518</v>
      </c>
    </row>
    <row r="586" spans="1:4">
      <c r="A586" t="s">
        <v>18</v>
      </c>
      <c r="B586" t="s">
        <v>138</v>
      </c>
      <c r="C586" s="22">
        <v>46069</v>
      </c>
      <c r="D586" s="23">
        <v>33508</v>
      </c>
    </row>
    <row r="587" spans="1:4">
      <c r="A587" t="s">
        <v>37</v>
      </c>
      <c r="B587" t="s">
        <v>269</v>
      </c>
      <c r="C587" s="22">
        <v>46070</v>
      </c>
      <c r="D587" s="23">
        <v>14005</v>
      </c>
    </row>
    <row r="588" spans="1:4">
      <c r="A588" t="s">
        <v>31</v>
      </c>
      <c r="B588" t="s">
        <v>193</v>
      </c>
      <c r="C588" s="22">
        <v>46070</v>
      </c>
      <c r="D588" s="23">
        <v>12952</v>
      </c>
    </row>
    <row r="589" spans="1:4">
      <c r="A589" t="s">
        <v>23</v>
      </c>
      <c r="B589" t="s">
        <v>258</v>
      </c>
      <c r="C589" s="22">
        <v>46070</v>
      </c>
      <c r="D589" s="23">
        <v>17646</v>
      </c>
    </row>
    <row r="590" spans="1:4">
      <c r="A590" t="s">
        <v>35</v>
      </c>
      <c r="B590" t="s">
        <v>196</v>
      </c>
      <c r="C590" s="22">
        <v>46070</v>
      </c>
      <c r="D590" s="23">
        <v>14314</v>
      </c>
    </row>
    <row r="591" spans="1:4">
      <c r="A591" t="s">
        <v>20</v>
      </c>
      <c r="B591" t="s">
        <v>239</v>
      </c>
      <c r="C591" s="22">
        <v>46070</v>
      </c>
      <c r="D591" s="23">
        <v>35105</v>
      </c>
    </row>
    <row r="592" spans="1:4">
      <c r="A592" t="s">
        <v>20</v>
      </c>
      <c r="B592" t="s">
        <v>103</v>
      </c>
      <c r="C592" s="22">
        <v>46070</v>
      </c>
      <c r="D592" s="23">
        <v>40050</v>
      </c>
    </row>
    <row r="593" spans="1:4">
      <c r="A593" t="s">
        <v>20</v>
      </c>
      <c r="B593" t="s">
        <v>224</v>
      </c>
      <c r="C593" s="22">
        <v>46070</v>
      </c>
      <c r="D593" s="23">
        <v>47941</v>
      </c>
    </row>
    <row r="594" spans="1:4">
      <c r="A594" t="s">
        <v>20</v>
      </c>
      <c r="B594" t="s">
        <v>265</v>
      </c>
      <c r="C594" s="22">
        <v>46070</v>
      </c>
      <c r="D594" s="23">
        <v>34449</v>
      </c>
    </row>
    <row r="595" spans="1:4">
      <c r="A595" t="s">
        <v>18</v>
      </c>
      <c r="B595" t="s">
        <v>171</v>
      </c>
      <c r="C595" s="22">
        <v>46070</v>
      </c>
      <c r="D595" s="23">
        <v>39398</v>
      </c>
    </row>
    <row r="596" spans="1:4">
      <c r="A596" t="s">
        <v>18</v>
      </c>
      <c r="B596" t="s">
        <v>71</v>
      </c>
      <c r="C596" s="22">
        <v>46070</v>
      </c>
      <c r="D596" s="23">
        <v>40770</v>
      </c>
    </row>
    <row r="597" spans="1:4">
      <c r="A597" t="s">
        <v>18</v>
      </c>
      <c r="B597" t="s">
        <v>71</v>
      </c>
      <c r="C597" s="22">
        <v>46070</v>
      </c>
      <c r="D597" s="23">
        <v>31063</v>
      </c>
    </row>
    <row r="598" spans="1:4">
      <c r="A598" t="s">
        <v>18</v>
      </c>
      <c r="B598" t="s">
        <v>108</v>
      </c>
      <c r="C598" s="22">
        <v>46070</v>
      </c>
      <c r="D598" s="23">
        <v>30807</v>
      </c>
    </row>
    <row r="599" spans="1:4">
      <c r="A599" t="s">
        <v>21</v>
      </c>
      <c r="B599" t="s">
        <v>87</v>
      </c>
      <c r="C599" s="22">
        <v>46071</v>
      </c>
      <c r="D599" s="23">
        <v>28415</v>
      </c>
    </row>
    <row r="600" spans="1:4">
      <c r="A600" t="s">
        <v>21</v>
      </c>
      <c r="B600" t="s">
        <v>272</v>
      </c>
      <c r="C600" s="22">
        <v>46071</v>
      </c>
      <c r="D600" s="23">
        <v>12855</v>
      </c>
    </row>
    <row r="601" spans="1:4">
      <c r="A601" t="s">
        <v>26</v>
      </c>
      <c r="B601" t="s">
        <v>278</v>
      </c>
      <c r="C601" s="22">
        <v>46071</v>
      </c>
      <c r="D601" s="23">
        <v>18454</v>
      </c>
    </row>
    <row r="602" spans="1:4">
      <c r="A602" t="s">
        <v>32</v>
      </c>
      <c r="B602" t="s">
        <v>50</v>
      </c>
      <c r="C602" s="22">
        <v>46071</v>
      </c>
      <c r="D602" s="23">
        <v>23865</v>
      </c>
    </row>
    <row r="603" spans="1:4">
      <c r="A603" t="s">
        <v>23</v>
      </c>
      <c r="B603" t="s">
        <v>182</v>
      </c>
      <c r="C603" s="22">
        <v>46071</v>
      </c>
      <c r="D603" s="23">
        <v>24344</v>
      </c>
    </row>
    <row r="604" spans="1:4">
      <c r="A604" t="s">
        <v>18</v>
      </c>
      <c r="B604" t="s">
        <v>55</v>
      </c>
      <c r="C604" s="22">
        <v>46071</v>
      </c>
      <c r="D604" s="23">
        <v>39664</v>
      </c>
    </row>
    <row r="605" spans="1:4">
      <c r="A605" t="s">
        <v>18</v>
      </c>
      <c r="B605" t="s">
        <v>96</v>
      </c>
      <c r="C605" s="22">
        <v>46071</v>
      </c>
      <c r="D605" s="23">
        <v>49201</v>
      </c>
    </row>
    <row r="606" spans="1:4">
      <c r="A606" t="s">
        <v>18</v>
      </c>
      <c r="B606" t="s">
        <v>159</v>
      </c>
      <c r="C606" s="22">
        <v>46071</v>
      </c>
      <c r="D606" s="23">
        <v>32995</v>
      </c>
    </row>
    <row r="607" spans="1:4">
      <c r="A607" t="s">
        <v>18</v>
      </c>
      <c r="B607" t="s">
        <v>107</v>
      </c>
      <c r="C607" s="22">
        <v>46071</v>
      </c>
      <c r="D607" s="23">
        <v>44940</v>
      </c>
    </row>
    <row r="608" spans="1:4">
      <c r="A608" t="s">
        <v>18</v>
      </c>
      <c r="B608" t="s">
        <v>108</v>
      </c>
      <c r="C608" s="22">
        <v>46071</v>
      </c>
      <c r="D608" s="23">
        <v>31825</v>
      </c>
    </row>
    <row r="609" spans="1:4">
      <c r="A609" t="s">
        <v>21</v>
      </c>
      <c r="B609" t="s">
        <v>240</v>
      </c>
      <c r="C609" s="22">
        <v>46072</v>
      </c>
      <c r="D609" s="23">
        <v>8143</v>
      </c>
    </row>
    <row r="610" spans="1:4">
      <c r="A610" t="s">
        <v>21</v>
      </c>
      <c r="B610" t="s">
        <v>277</v>
      </c>
      <c r="C610" s="22">
        <v>46072</v>
      </c>
      <c r="D610" s="23">
        <v>26644</v>
      </c>
    </row>
    <row r="611" spans="1:4">
      <c r="A611" t="s">
        <v>21</v>
      </c>
      <c r="B611" t="s">
        <v>98</v>
      </c>
      <c r="C611" s="22">
        <v>46072</v>
      </c>
      <c r="D611" s="23">
        <v>38340</v>
      </c>
    </row>
    <row r="612" spans="1:4">
      <c r="A612" t="s">
        <v>21</v>
      </c>
      <c r="B612" t="s">
        <v>72</v>
      </c>
      <c r="C612" s="22">
        <v>46072</v>
      </c>
      <c r="D612" s="23">
        <v>54709</v>
      </c>
    </row>
    <row r="613" spans="1:4">
      <c r="A613" t="s">
        <v>26</v>
      </c>
      <c r="B613" t="s">
        <v>203</v>
      </c>
      <c r="C613" s="22">
        <v>46072</v>
      </c>
      <c r="D613" s="23">
        <v>17958</v>
      </c>
    </row>
    <row r="614" spans="1:4">
      <c r="A614" t="s">
        <v>22</v>
      </c>
      <c r="B614" t="s">
        <v>188</v>
      </c>
      <c r="C614" s="22">
        <v>46072</v>
      </c>
      <c r="D614" s="23">
        <v>31678</v>
      </c>
    </row>
    <row r="615" spans="1:4">
      <c r="A615" t="s">
        <v>22</v>
      </c>
      <c r="B615" t="s">
        <v>133</v>
      </c>
      <c r="C615" s="22">
        <v>46072</v>
      </c>
      <c r="D615" s="23">
        <v>26311</v>
      </c>
    </row>
    <row r="616" spans="1:4">
      <c r="A616" t="s">
        <v>22</v>
      </c>
      <c r="B616" t="s">
        <v>183</v>
      </c>
      <c r="C616" s="22">
        <v>46072</v>
      </c>
      <c r="D616" s="23">
        <v>17955</v>
      </c>
    </row>
    <row r="617" spans="1:4">
      <c r="A617" t="s">
        <v>20</v>
      </c>
      <c r="B617" t="s">
        <v>83</v>
      </c>
      <c r="C617" s="22">
        <v>46072</v>
      </c>
      <c r="D617" s="23">
        <v>29852</v>
      </c>
    </row>
    <row r="618" spans="1:4">
      <c r="A618" t="s">
        <v>18</v>
      </c>
      <c r="B618" t="s">
        <v>86</v>
      </c>
      <c r="C618" s="22">
        <v>46072</v>
      </c>
      <c r="D618" s="23">
        <v>33373</v>
      </c>
    </row>
    <row r="619" spans="1:4">
      <c r="A619" t="s">
        <v>18</v>
      </c>
      <c r="B619" t="s">
        <v>128</v>
      </c>
      <c r="C619" s="22">
        <v>46072</v>
      </c>
      <c r="D619" s="23">
        <v>32447</v>
      </c>
    </row>
    <row r="620" spans="1:4">
      <c r="A620" t="s">
        <v>18</v>
      </c>
      <c r="B620" t="s">
        <v>97</v>
      </c>
      <c r="C620" s="22">
        <v>46072</v>
      </c>
      <c r="D620" s="23">
        <v>53109</v>
      </c>
    </row>
    <row r="621" spans="1:4">
      <c r="A621" t="s">
        <v>21</v>
      </c>
      <c r="B621" t="s">
        <v>65</v>
      </c>
      <c r="C621" s="22">
        <v>46073</v>
      </c>
      <c r="D621" s="23">
        <v>46841</v>
      </c>
    </row>
    <row r="622" spans="1:4">
      <c r="A622" t="s">
        <v>21</v>
      </c>
      <c r="B622" t="s">
        <v>70</v>
      </c>
      <c r="C622" s="22">
        <v>46073</v>
      </c>
      <c r="D622" s="23">
        <v>45626</v>
      </c>
    </row>
    <row r="623" spans="1:4">
      <c r="A623" t="s">
        <v>40</v>
      </c>
      <c r="B623" t="s">
        <v>88</v>
      </c>
      <c r="C623" s="22">
        <v>46073</v>
      </c>
      <c r="D623" s="23">
        <v>8184</v>
      </c>
    </row>
    <row r="624" spans="1:4">
      <c r="A624" t="s">
        <v>25</v>
      </c>
      <c r="B624" t="s">
        <v>211</v>
      </c>
      <c r="C624" s="22">
        <v>46073</v>
      </c>
      <c r="D624" s="23">
        <v>21569</v>
      </c>
    </row>
    <row r="625" spans="1:4">
      <c r="A625" t="s">
        <v>34</v>
      </c>
      <c r="B625" t="s">
        <v>123</v>
      </c>
      <c r="C625" s="22">
        <v>46073</v>
      </c>
      <c r="D625" s="23">
        <v>14745</v>
      </c>
    </row>
    <row r="626" spans="1:4">
      <c r="A626" t="s">
        <v>23</v>
      </c>
      <c r="B626" t="s">
        <v>204</v>
      </c>
      <c r="C626" s="22">
        <v>46073</v>
      </c>
      <c r="D626" s="23">
        <v>20659</v>
      </c>
    </row>
    <row r="627" spans="1:4">
      <c r="A627" t="s">
        <v>20</v>
      </c>
      <c r="B627" t="s">
        <v>207</v>
      </c>
      <c r="C627" s="22">
        <v>46073</v>
      </c>
      <c r="D627" s="23">
        <v>44956</v>
      </c>
    </row>
    <row r="628" spans="1:4">
      <c r="A628" t="s">
        <v>20</v>
      </c>
      <c r="B628" t="s">
        <v>102</v>
      </c>
      <c r="C628" s="22">
        <v>46073</v>
      </c>
      <c r="D628" s="23">
        <v>25708</v>
      </c>
    </row>
    <row r="629" spans="1:4">
      <c r="A629" t="s">
        <v>20</v>
      </c>
      <c r="B629" t="s">
        <v>230</v>
      </c>
      <c r="C629" s="22">
        <v>46073</v>
      </c>
      <c r="D629" s="23">
        <v>44543</v>
      </c>
    </row>
    <row r="630" spans="1:4">
      <c r="A630" t="s">
        <v>20</v>
      </c>
      <c r="B630" t="s">
        <v>116</v>
      </c>
      <c r="C630" s="22">
        <v>46073</v>
      </c>
      <c r="D630" s="23">
        <v>28578</v>
      </c>
    </row>
    <row r="631" spans="1:4">
      <c r="A631" t="s">
        <v>20</v>
      </c>
      <c r="B631" t="s">
        <v>265</v>
      </c>
      <c r="C631" s="22">
        <v>46073</v>
      </c>
      <c r="D631" s="23">
        <v>37974</v>
      </c>
    </row>
    <row r="632" spans="1:4">
      <c r="A632" t="s">
        <v>18</v>
      </c>
      <c r="B632" t="s">
        <v>95</v>
      </c>
      <c r="C632" s="22">
        <v>46073</v>
      </c>
      <c r="D632" s="23">
        <v>52519</v>
      </c>
    </row>
    <row r="633" spans="1:4">
      <c r="A633" t="s">
        <v>18</v>
      </c>
      <c r="B633" t="s">
        <v>69</v>
      </c>
      <c r="C633" s="22">
        <v>46073</v>
      </c>
      <c r="D633" s="23">
        <v>29583</v>
      </c>
    </row>
    <row r="634" spans="1:4">
      <c r="A634" t="s">
        <v>18</v>
      </c>
      <c r="B634" t="s">
        <v>107</v>
      </c>
      <c r="C634" s="22">
        <v>46073</v>
      </c>
      <c r="D634" s="23">
        <v>37617</v>
      </c>
    </row>
    <row r="635" spans="1:4">
      <c r="A635" t="s">
        <v>18</v>
      </c>
      <c r="B635" t="s">
        <v>97</v>
      </c>
      <c r="C635" s="22">
        <v>46073</v>
      </c>
      <c r="D635" s="23">
        <v>40127</v>
      </c>
    </row>
    <row r="636" spans="1:4">
      <c r="A636" t="s">
        <v>21</v>
      </c>
      <c r="B636" t="s">
        <v>252</v>
      </c>
      <c r="C636" s="22">
        <v>46074</v>
      </c>
      <c r="D636" s="23">
        <v>27036</v>
      </c>
    </row>
    <row r="637" spans="1:4">
      <c r="A637" t="s">
        <v>21</v>
      </c>
      <c r="B637" t="s">
        <v>174</v>
      </c>
      <c r="C637" s="22">
        <v>46074</v>
      </c>
      <c r="D637" s="23">
        <v>31692</v>
      </c>
    </row>
    <row r="638" spans="1:4">
      <c r="A638" t="s">
        <v>27</v>
      </c>
      <c r="B638" t="s">
        <v>247</v>
      </c>
      <c r="C638" s="22">
        <v>46074</v>
      </c>
      <c r="D638" s="23">
        <v>15179</v>
      </c>
    </row>
    <row r="639" spans="1:4">
      <c r="A639" t="s">
        <v>25</v>
      </c>
      <c r="B639" t="s">
        <v>228</v>
      </c>
      <c r="C639" s="22">
        <v>46074</v>
      </c>
      <c r="D639" s="23">
        <v>20715</v>
      </c>
    </row>
    <row r="640" spans="1:4">
      <c r="A640" t="s">
        <v>34</v>
      </c>
      <c r="B640" t="s">
        <v>261</v>
      </c>
      <c r="C640" s="22">
        <v>46074</v>
      </c>
      <c r="D640" s="23">
        <v>28500</v>
      </c>
    </row>
    <row r="641" spans="1:4">
      <c r="A641" t="s">
        <v>23</v>
      </c>
      <c r="B641" t="s">
        <v>187</v>
      </c>
      <c r="C641" s="22">
        <v>46074</v>
      </c>
      <c r="D641" s="23">
        <v>21913</v>
      </c>
    </row>
    <row r="642" spans="1:4">
      <c r="A642" t="s">
        <v>23</v>
      </c>
      <c r="B642" t="s">
        <v>204</v>
      </c>
      <c r="C642" s="22">
        <v>46074</v>
      </c>
      <c r="D642" s="23">
        <v>26097</v>
      </c>
    </row>
    <row r="643" spans="1:4">
      <c r="A643" t="s">
        <v>22</v>
      </c>
      <c r="B643" t="s">
        <v>238</v>
      </c>
      <c r="C643" s="22">
        <v>46074</v>
      </c>
      <c r="D643" s="23">
        <v>26877</v>
      </c>
    </row>
    <row r="644" spans="1:4">
      <c r="A644" t="s">
        <v>22</v>
      </c>
      <c r="B644" t="s">
        <v>271</v>
      </c>
      <c r="C644" s="22">
        <v>46074</v>
      </c>
      <c r="D644" s="23">
        <v>29446</v>
      </c>
    </row>
    <row r="645" spans="1:4">
      <c r="A645" t="s">
        <v>20</v>
      </c>
      <c r="B645" t="s">
        <v>126</v>
      </c>
      <c r="C645" s="22">
        <v>46074</v>
      </c>
      <c r="D645" s="23">
        <v>47564</v>
      </c>
    </row>
    <row r="646" spans="1:4">
      <c r="A646" t="s">
        <v>20</v>
      </c>
      <c r="B646" t="s">
        <v>102</v>
      </c>
      <c r="C646" s="22">
        <v>46074</v>
      </c>
      <c r="D646" s="23">
        <v>27493</v>
      </c>
    </row>
    <row r="647" spans="1:4">
      <c r="A647" t="s">
        <v>20</v>
      </c>
      <c r="B647" t="s">
        <v>168</v>
      </c>
      <c r="C647" s="22">
        <v>46074</v>
      </c>
      <c r="D647" s="23">
        <v>29585</v>
      </c>
    </row>
    <row r="648" spans="1:4">
      <c r="A648" t="s">
        <v>20</v>
      </c>
      <c r="B648" t="s">
        <v>127</v>
      </c>
      <c r="C648" s="22">
        <v>46074</v>
      </c>
      <c r="D648" s="23">
        <v>38256</v>
      </c>
    </row>
    <row r="649" spans="1:4">
      <c r="A649" t="s">
        <v>20</v>
      </c>
      <c r="B649" t="s">
        <v>104</v>
      </c>
      <c r="C649" s="22">
        <v>46074</v>
      </c>
      <c r="D649" s="23">
        <v>46734</v>
      </c>
    </row>
    <row r="650" spans="1:4">
      <c r="A650" t="s">
        <v>18</v>
      </c>
      <c r="B650" t="s">
        <v>92</v>
      </c>
      <c r="C650" s="22">
        <v>46074</v>
      </c>
      <c r="D650" s="23">
        <v>36711</v>
      </c>
    </row>
    <row r="651" spans="1:4">
      <c r="A651" t="s">
        <v>18</v>
      </c>
      <c r="B651" t="s">
        <v>68</v>
      </c>
      <c r="C651" s="22">
        <v>46074</v>
      </c>
      <c r="D651" s="23">
        <v>44842</v>
      </c>
    </row>
    <row r="652" spans="1:4">
      <c r="A652" t="s">
        <v>18</v>
      </c>
      <c r="B652" t="s">
        <v>117</v>
      </c>
      <c r="C652" s="22">
        <v>46074</v>
      </c>
      <c r="D652" s="23">
        <v>38068</v>
      </c>
    </row>
    <row r="653" spans="1:4">
      <c r="A653" t="s">
        <v>18</v>
      </c>
      <c r="B653" t="s">
        <v>118</v>
      </c>
      <c r="C653" s="22">
        <v>46074</v>
      </c>
      <c r="D653" s="23">
        <v>39120</v>
      </c>
    </row>
    <row r="654" spans="1:4">
      <c r="A654" t="s">
        <v>18</v>
      </c>
      <c r="B654" t="s">
        <v>224</v>
      </c>
      <c r="C654" s="22">
        <v>46074</v>
      </c>
      <c r="D654" s="23">
        <v>52110</v>
      </c>
    </row>
    <row r="655" spans="1:4">
      <c r="A655" t="s">
        <v>18</v>
      </c>
      <c r="B655" t="s">
        <v>72</v>
      </c>
      <c r="C655" s="22">
        <v>46074</v>
      </c>
      <c r="D655" s="23">
        <v>46575</v>
      </c>
    </row>
    <row r="656" spans="1:4">
      <c r="A656" t="s">
        <v>28</v>
      </c>
      <c r="B656" t="s">
        <v>216</v>
      </c>
      <c r="C656" s="22">
        <v>46075</v>
      </c>
      <c r="D656" s="23">
        <v>15188</v>
      </c>
    </row>
    <row r="657" spans="1:4">
      <c r="A657" t="s">
        <v>21</v>
      </c>
      <c r="B657" t="s">
        <v>140</v>
      </c>
      <c r="C657" s="22">
        <v>46075</v>
      </c>
      <c r="D657" s="23">
        <v>36294</v>
      </c>
    </row>
    <row r="658" spans="1:4">
      <c r="A658" t="s">
        <v>26</v>
      </c>
      <c r="B658" t="s">
        <v>99</v>
      </c>
      <c r="C658" s="22">
        <v>46075</v>
      </c>
      <c r="D658" s="23">
        <v>5200</v>
      </c>
    </row>
    <row r="659" spans="1:4">
      <c r="A659" t="s">
        <v>27</v>
      </c>
      <c r="B659" t="s">
        <v>177</v>
      </c>
      <c r="C659" s="22">
        <v>46075</v>
      </c>
      <c r="D659" s="23">
        <v>29366</v>
      </c>
    </row>
    <row r="660" spans="1:4">
      <c r="A660" t="s">
        <v>35</v>
      </c>
      <c r="B660" t="s">
        <v>281</v>
      </c>
      <c r="C660" s="22">
        <v>46075</v>
      </c>
      <c r="D660" s="23">
        <v>22123</v>
      </c>
    </row>
    <row r="661" spans="1:4">
      <c r="A661" t="s">
        <v>29</v>
      </c>
      <c r="B661" t="s">
        <v>142</v>
      </c>
      <c r="C661" s="22">
        <v>46075</v>
      </c>
      <c r="D661" s="23">
        <v>14661</v>
      </c>
    </row>
    <row r="662" spans="1:4">
      <c r="A662" t="s">
        <v>22</v>
      </c>
      <c r="B662" t="s">
        <v>137</v>
      </c>
      <c r="C662" s="22">
        <v>46075</v>
      </c>
      <c r="D662" s="23">
        <v>27867</v>
      </c>
    </row>
    <row r="663" spans="1:4">
      <c r="A663" t="s">
        <v>22</v>
      </c>
      <c r="B663" t="s">
        <v>238</v>
      </c>
      <c r="C663" s="22">
        <v>46075</v>
      </c>
      <c r="D663" s="23">
        <v>26392</v>
      </c>
    </row>
    <row r="664" spans="1:4">
      <c r="A664" t="s">
        <v>20</v>
      </c>
      <c r="B664" t="s">
        <v>116</v>
      </c>
      <c r="C664" s="22">
        <v>46075</v>
      </c>
      <c r="D664" s="23">
        <v>27614</v>
      </c>
    </row>
    <row r="665" spans="1:4">
      <c r="A665" t="s">
        <v>20</v>
      </c>
      <c r="B665" t="s">
        <v>215</v>
      </c>
      <c r="C665" s="22">
        <v>46075</v>
      </c>
      <c r="D665" s="23">
        <v>27186</v>
      </c>
    </row>
    <row r="666" spans="1:4">
      <c r="A666" t="s">
        <v>18</v>
      </c>
      <c r="B666" t="s">
        <v>53</v>
      </c>
      <c r="C666" s="22">
        <v>46075</v>
      </c>
      <c r="D666" s="23">
        <v>38781</v>
      </c>
    </row>
    <row r="667" spans="1:4">
      <c r="A667" t="s">
        <v>18</v>
      </c>
      <c r="B667" t="s">
        <v>129</v>
      </c>
      <c r="C667" s="22">
        <v>46075</v>
      </c>
      <c r="D667" s="23">
        <v>31032</v>
      </c>
    </row>
    <row r="668" spans="1:4">
      <c r="A668" t="s">
        <v>18</v>
      </c>
      <c r="B668" t="s">
        <v>224</v>
      </c>
      <c r="C668" s="22">
        <v>46075</v>
      </c>
      <c r="D668" s="23">
        <v>54635</v>
      </c>
    </row>
    <row r="669" spans="1:4">
      <c r="A669" t="s">
        <v>28</v>
      </c>
      <c r="B669" t="s">
        <v>198</v>
      </c>
      <c r="C669" s="22">
        <v>46076</v>
      </c>
      <c r="D669" s="23">
        <v>23323</v>
      </c>
    </row>
    <row r="670" spans="1:4">
      <c r="A670" t="s">
        <v>21</v>
      </c>
      <c r="B670" t="s">
        <v>87</v>
      </c>
      <c r="C670" s="22">
        <v>46076</v>
      </c>
      <c r="D670" s="23">
        <v>34775</v>
      </c>
    </row>
    <row r="671" spans="1:4">
      <c r="A671" t="s">
        <v>21</v>
      </c>
      <c r="B671" t="s">
        <v>75</v>
      </c>
      <c r="C671" s="22">
        <v>46076</v>
      </c>
      <c r="D671" s="23">
        <v>31416</v>
      </c>
    </row>
    <row r="672" spans="1:4">
      <c r="A672" t="s">
        <v>31</v>
      </c>
      <c r="B672" t="s">
        <v>176</v>
      </c>
      <c r="C672" s="22">
        <v>46076</v>
      </c>
      <c r="D672" s="23">
        <v>13838</v>
      </c>
    </row>
    <row r="673" spans="1:4">
      <c r="A673" t="s">
        <v>32</v>
      </c>
      <c r="B673" t="s">
        <v>156</v>
      </c>
      <c r="C673" s="22">
        <v>46076</v>
      </c>
      <c r="D673" s="23">
        <v>14764</v>
      </c>
    </row>
    <row r="674" spans="1:4">
      <c r="A674" t="s">
        <v>22</v>
      </c>
      <c r="B674" t="s">
        <v>134</v>
      </c>
      <c r="C674" s="22">
        <v>46076</v>
      </c>
      <c r="D674" s="23">
        <v>24288</v>
      </c>
    </row>
    <row r="675" spans="1:4">
      <c r="A675" t="s">
        <v>18</v>
      </c>
      <c r="B675" t="s">
        <v>92</v>
      </c>
      <c r="C675" s="22">
        <v>46076</v>
      </c>
      <c r="D675" s="23">
        <v>57738</v>
      </c>
    </row>
    <row r="676" spans="1:4">
      <c r="A676" t="s">
        <v>18</v>
      </c>
      <c r="B676" t="s">
        <v>92</v>
      </c>
      <c r="C676" s="22">
        <v>46076</v>
      </c>
      <c r="D676" s="23">
        <v>52313</v>
      </c>
    </row>
    <row r="677" spans="1:4">
      <c r="A677" t="s">
        <v>18</v>
      </c>
      <c r="B677" t="s">
        <v>67</v>
      </c>
      <c r="C677" s="22">
        <v>46076</v>
      </c>
      <c r="D677" s="23">
        <v>36017</v>
      </c>
    </row>
    <row r="678" spans="1:4">
      <c r="A678" t="s">
        <v>18</v>
      </c>
      <c r="B678" t="s">
        <v>96</v>
      </c>
      <c r="C678" s="22">
        <v>46076</v>
      </c>
      <c r="D678" s="23">
        <v>34923</v>
      </c>
    </row>
    <row r="679" spans="1:4">
      <c r="A679" t="s">
        <v>18</v>
      </c>
      <c r="B679" t="s">
        <v>70</v>
      </c>
      <c r="C679" s="22">
        <v>46076</v>
      </c>
      <c r="D679" s="23">
        <v>37138</v>
      </c>
    </row>
    <row r="680" spans="1:4">
      <c r="A680" t="s">
        <v>18</v>
      </c>
      <c r="B680" t="s">
        <v>58</v>
      </c>
      <c r="C680" s="22">
        <v>46076</v>
      </c>
      <c r="D680" s="23">
        <v>45458</v>
      </c>
    </row>
    <row r="681" spans="1:4">
      <c r="A681" t="s">
        <v>18</v>
      </c>
      <c r="B681" t="s">
        <v>159</v>
      </c>
      <c r="C681" s="22">
        <v>46076</v>
      </c>
      <c r="D681" s="23">
        <v>47582</v>
      </c>
    </row>
    <row r="682" spans="1:4">
      <c r="A682" t="s">
        <v>18</v>
      </c>
      <c r="B682" t="s">
        <v>128</v>
      </c>
      <c r="C682" s="22">
        <v>46076</v>
      </c>
      <c r="D682" s="23">
        <v>33124</v>
      </c>
    </row>
    <row r="683" spans="1:4">
      <c r="A683" t="s">
        <v>28</v>
      </c>
      <c r="B683" t="s">
        <v>235</v>
      </c>
      <c r="C683" s="22">
        <v>46077</v>
      </c>
      <c r="D683" s="23">
        <v>20311</v>
      </c>
    </row>
    <row r="684" spans="1:4">
      <c r="A684" t="s">
        <v>21</v>
      </c>
      <c r="B684" t="s">
        <v>277</v>
      </c>
      <c r="C684" s="22">
        <v>46077</v>
      </c>
      <c r="D684" s="23">
        <v>23519</v>
      </c>
    </row>
    <row r="685" spans="1:4">
      <c r="A685" t="s">
        <v>21</v>
      </c>
      <c r="B685" t="s">
        <v>163</v>
      </c>
      <c r="C685" s="22">
        <v>46077</v>
      </c>
      <c r="D685" s="23">
        <v>26236</v>
      </c>
    </row>
    <row r="686" spans="1:4">
      <c r="A686" t="s">
        <v>26</v>
      </c>
      <c r="B686" t="s">
        <v>276</v>
      </c>
      <c r="C686" s="22">
        <v>46077</v>
      </c>
      <c r="D686" s="23">
        <v>36508</v>
      </c>
    </row>
    <row r="687" spans="1:4">
      <c r="A687" t="s">
        <v>20</v>
      </c>
      <c r="B687" t="s">
        <v>189</v>
      </c>
      <c r="C687" s="22">
        <v>46077</v>
      </c>
      <c r="D687" s="23">
        <v>25818</v>
      </c>
    </row>
    <row r="688" spans="1:4">
      <c r="A688" t="s">
        <v>18</v>
      </c>
      <c r="B688" t="s">
        <v>66</v>
      </c>
      <c r="C688" s="22">
        <v>46077</v>
      </c>
      <c r="D688" s="23">
        <v>41586</v>
      </c>
    </row>
    <row r="689" spans="1:4">
      <c r="A689" t="s">
        <v>18</v>
      </c>
      <c r="B689" t="s">
        <v>94</v>
      </c>
      <c r="C689" s="22">
        <v>46077</v>
      </c>
      <c r="D689" s="23">
        <v>54213</v>
      </c>
    </row>
    <row r="690" spans="1:4">
      <c r="A690" t="s">
        <v>18</v>
      </c>
      <c r="B690" t="s">
        <v>94</v>
      </c>
      <c r="C690" s="22">
        <v>46077</v>
      </c>
      <c r="D690" s="23">
        <v>47909</v>
      </c>
    </row>
    <row r="691" spans="1:4">
      <c r="A691" t="s">
        <v>18</v>
      </c>
      <c r="B691" t="s">
        <v>57</v>
      </c>
      <c r="C691" s="22">
        <v>46077</v>
      </c>
      <c r="D691" s="23">
        <v>44456</v>
      </c>
    </row>
    <row r="692" spans="1:4">
      <c r="A692" t="s">
        <v>18</v>
      </c>
      <c r="B692" t="s">
        <v>128</v>
      </c>
      <c r="C692" s="22">
        <v>46077</v>
      </c>
      <c r="D692" s="23">
        <v>38552</v>
      </c>
    </row>
    <row r="693" spans="1:4">
      <c r="A693" t="s">
        <v>35</v>
      </c>
      <c r="B693" t="s">
        <v>122</v>
      </c>
      <c r="C693" s="22">
        <v>46078</v>
      </c>
      <c r="D693" s="23">
        <v>13242</v>
      </c>
    </row>
    <row r="694" spans="1:4">
      <c r="A694" t="s">
        <v>29</v>
      </c>
      <c r="B694" t="s">
        <v>160</v>
      </c>
      <c r="C694" s="22">
        <v>46078</v>
      </c>
      <c r="D694" s="23">
        <v>19667</v>
      </c>
    </row>
    <row r="695" spans="1:4">
      <c r="A695" t="s">
        <v>22</v>
      </c>
      <c r="B695" t="s">
        <v>231</v>
      </c>
      <c r="C695" s="22">
        <v>46078</v>
      </c>
      <c r="D695" s="23">
        <v>24915</v>
      </c>
    </row>
    <row r="696" spans="1:4">
      <c r="A696" t="s">
        <v>22</v>
      </c>
      <c r="B696" t="s">
        <v>143</v>
      </c>
      <c r="C696" s="22">
        <v>46078</v>
      </c>
      <c r="D696" s="23">
        <v>29643</v>
      </c>
    </row>
    <row r="697" spans="1:4">
      <c r="A697" t="s">
        <v>20</v>
      </c>
      <c r="B697" t="s">
        <v>170</v>
      </c>
      <c r="C697" s="22">
        <v>46078</v>
      </c>
      <c r="D697" s="23">
        <v>41658</v>
      </c>
    </row>
    <row r="698" spans="1:4">
      <c r="A698" t="s">
        <v>20</v>
      </c>
      <c r="B698" t="s">
        <v>230</v>
      </c>
      <c r="C698" s="22">
        <v>46078</v>
      </c>
      <c r="D698" s="23">
        <v>36253</v>
      </c>
    </row>
    <row r="699" spans="1:4">
      <c r="A699" t="s">
        <v>18</v>
      </c>
      <c r="B699" t="s">
        <v>55</v>
      </c>
      <c r="C699" s="22">
        <v>46078</v>
      </c>
      <c r="D699" s="23">
        <v>50699</v>
      </c>
    </row>
    <row r="700" spans="1:4">
      <c r="A700" t="s">
        <v>18</v>
      </c>
      <c r="B700" t="s">
        <v>96</v>
      </c>
      <c r="C700" s="22">
        <v>46078</v>
      </c>
      <c r="D700" s="23">
        <v>43836</v>
      </c>
    </row>
    <row r="701" spans="1:4">
      <c r="A701" t="s">
        <v>18</v>
      </c>
      <c r="B701" t="s">
        <v>85</v>
      </c>
      <c r="C701" s="22">
        <v>46078</v>
      </c>
      <c r="D701" s="23">
        <v>36326</v>
      </c>
    </row>
    <row r="702" spans="1:4">
      <c r="A702" t="s">
        <v>21</v>
      </c>
      <c r="B702" t="s">
        <v>130</v>
      </c>
      <c r="C702" s="22">
        <v>46079</v>
      </c>
      <c r="D702" s="23">
        <v>28887</v>
      </c>
    </row>
    <row r="703" spans="1:4">
      <c r="A703" t="s">
        <v>33</v>
      </c>
      <c r="B703" t="s">
        <v>236</v>
      </c>
      <c r="C703" s="22">
        <v>46079</v>
      </c>
      <c r="D703" s="23">
        <v>14014</v>
      </c>
    </row>
    <row r="704" spans="1:4">
      <c r="A704" t="s">
        <v>31</v>
      </c>
      <c r="B704" t="s">
        <v>151</v>
      </c>
      <c r="C704" s="22">
        <v>46079</v>
      </c>
      <c r="D704" s="23">
        <v>15314</v>
      </c>
    </row>
    <row r="705" spans="1:4">
      <c r="A705" t="s">
        <v>32</v>
      </c>
      <c r="B705" t="s">
        <v>257</v>
      </c>
      <c r="C705" s="22">
        <v>46079</v>
      </c>
      <c r="D705" s="23">
        <v>11895</v>
      </c>
    </row>
    <row r="706" spans="1:4">
      <c r="A706" t="s">
        <v>32</v>
      </c>
      <c r="B706" t="s">
        <v>205</v>
      </c>
      <c r="C706" s="22">
        <v>46079</v>
      </c>
      <c r="D706" s="23">
        <v>8907</v>
      </c>
    </row>
    <row r="707" spans="1:4">
      <c r="A707" t="s">
        <v>25</v>
      </c>
      <c r="B707" t="s">
        <v>61</v>
      </c>
      <c r="C707" s="22">
        <v>46079</v>
      </c>
      <c r="D707" s="23">
        <v>37661</v>
      </c>
    </row>
    <row r="708" spans="1:4">
      <c r="A708" t="s">
        <v>29</v>
      </c>
      <c r="B708" t="s">
        <v>141</v>
      </c>
      <c r="C708" s="22">
        <v>46079</v>
      </c>
      <c r="D708" s="23">
        <v>15946</v>
      </c>
    </row>
    <row r="709" spans="1:4">
      <c r="A709" t="s">
        <v>22</v>
      </c>
      <c r="B709" t="s">
        <v>167</v>
      </c>
      <c r="C709" s="22">
        <v>46079</v>
      </c>
      <c r="D709" s="23">
        <v>23417</v>
      </c>
    </row>
    <row r="710" spans="1:4">
      <c r="A710" t="s">
        <v>20</v>
      </c>
      <c r="B710" t="s">
        <v>239</v>
      </c>
      <c r="C710" s="22">
        <v>46079</v>
      </c>
      <c r="D710" s="23">
        <v>27170</v>
      </c>
    </row>
    <row r="711" spans="1:4">
      <c r="A711" t="s">
        <v>20</v>
      </c>
      <c r="B711" t="s">
        <v>144</v>
      </c>
      <c r="C711" s="22">
        <v>46079</v>
      </c>
      <c r="D711" s="23">
        <v>32874</v>
      </c>
    </row>
    <row r="712" spans="1:4">
      <c r="A712" t="s">
        <v>20</v>
      </c>
      <c r="B712" t="s">
        <v>169</v>
      </c>
      <c r="C712" s="22">
        <v>46079</v>
      </c>
      <c r="D712" s="23">
        <v>39388</v>
      </c>
    </row>
    <row r="713" spans="1:4">
      <c r="A713" t="s">
        <v>20</v>
      </c>
      <c r="B713" t="s">
        <v>104</v>
      </c>
      <c r="C713" s="22">
        <v>46079</v>
      </c>
      <c r="D713" s="23">
        <v>45368</v>
      </c>
    </row>
    <row r="714" spans="1:4">
      <c r="A714" t="s">
        <v>18</v>
      </c>
      <c r="B714" t="s">
        <v>200</v>
      </c>
      <c r="C714" s="22">
        <v>46079</v>
      </c>
      <c r="D714" s="23">
        <v>31490</v>
      </c>
    </row>
    <row r="715" spans="1:4">
      <c r="A715" t="s">
        <v>18</v>
      </c>
      <c r="B715" t="s">
        <v>59</v>
      </c>
      <c r="C715" s="22">
        <v>46079</v>
      </c>
      <c r="D715" s="23">
        <v>45176</v>
      </c>
    </row>
    <row r="716" spans="1:4">
      <c r="A716" t="s">
        <v>18</v>
      </c>
      <c r="B716" t="s">
        <v>53</v>
      </c>
      <c r="C716" s="22">
        <v>46079</v>
      </c>
      <c r="D716" s="23">
        <v>30654</v>
      </c>
    </row>
    <row r="717" spans="1:4">
      <c r="A717" t="s">
        <v>18</v>
      </c>
      <c r="B717" t="s">
        <v>208</v>
      </c>
      <c r="C717" s="22">
        <v>46079</v>
      </c>
      <c r="D717" s="23">
        <v>51286</v>
      </c>
    </row>
    <row r="718" spans="1:4">
      <c r="A718" t="s">
        <v>18</v>
      </c>
      <c r="B718" t="s">
        <v>159</v>
      </c>
      <c r="C718" s="22">
        <v>46079</v>
      </c>
      <c r="D718" s="23">
        <v>46553</v>
      </c>
    </row>
    <row r="719" spans="1:4">
      <c r="A719" t="s">
        <v>21</v>
      </c>
      <c r="B719" t="s">
        <v>110</v>
      </c>
      <c r="C719" s="22">
        <v>46080</v>
      </c>
      <c r="D719" s="23">
        <v>24041</v>
      </c>
    </row>
    <row r="720" spans="1:4">
      <c r="A720" t="s">
        <v>21</v>
      </c>
      <c r="B720" t="s">
        <v>209</v>
      </c>
      <c r="C720" s="22">
        <v>46080</v>
      </c>
      <c r="D720" s="23">
        <v>37546</v>
      </c>
    </row>
    <row r="721" spans="1:4">
      <c r="A721" t="s">
        <v>21</v>
      </c>
      <c r="B721" t="s">
        <v>130</v>
      </c>
      <c r="C721" s="22">
        <v>46080</v>
      </c>
      <c r="D721" s="23">
        <v>23463</v>
      </c>
    </row>
    <row r="722" spans="1:4">
      <c r="A722" t="s">
        <v>26</v>
      </c>
      <c r="B722" t="s">
        <v>150</v>
      </c>
      <c r="C722" s="22">
        <v>46080</v>
      </c>
      <c r="D722" s="23">
        <v>10847</v>
      </c>
    </row>
    <row r="723" spans="1:4">
      <c r="A723" t="s">
        <v>29</v>
      </c>
      <c r="B723" t="s">
        <v>283</v>
      </c>
      <c r="C723" s="22">
        <v>46080</v>
      </c>
      <c r="D723" s="23">
        <v>14461</v>
      </c>
    </row>
    <row r="724" spans="1:4">
      <c r="A724" t="s">
        <v>20</v>
      </c>
      <c r="B724" t="s">
        <v>102</v>
      </c>
      <c r="C724" s="22">
        <v>46080</v>
      </c>
      <c r="D724" s="23">
        <v>32856</v>
      </c>
    </row>
    <row r="725" spans="1:4">
      <c r="A725" t="s">
        <v>20</v>
      </c>
      <c r="B725" t="s">
        <v>170</v>
      </c>
      <c r="C725" s="22">
        <v>46080</v>
      </c>
      <c r="D725" s="23">
        <v>27881</v>
      </c>
    </row>
    <row r="726" spans="1:4">
      <c r="A726" t="s">
        <v>20</v>
      </c>
      <c r="B726" t="s">
        <v>165</v>
      </c>
      <c r="C726" s="22">
        <v>46080</v>
      </c>
      <c r="D726" s="23">
        <v>34582</v>
      </c>
    </row>
    <row r="727" spans="1:4">
      <c r="A727" t="s">
        <v>18</v>
      </c>
      <c r="B727" t="s">
        <v>54</v>
      </c>
      <c r="C727" s="22">
        <v>46080</v>
      </c>
      <c r="D727" s="23">
        <v>45171</v>
      </c>
    </row>
    <row r="728" spans="1:4">
      <c r="A728" t="s">
        <v>18</v>
      </c>
      <c r="B728" t="s">
        <v>67</v>
      </c>
      <c r="C728" s="22">
        <v>46080</v>
      </c>
      <c r="D728" s="23">
        <v>45723</v>
      </c>
    </row>
    <row r="729" spans="1:4">
      <c r="A729" t="s">
        <v>18</v>
      </c>
      <c r="B729" t="s">
        <v>57</v>
      </c>
      <c r="C729" s="22">
        <v>46080</v>
      </c>
      <c r="D729" s="23">
        <v>35757</v>
      </c>
    </row>
    <row r="730" spans="1:4">
      <c r="A730" t="s">
        <v>18</v>
      </c>
      <c r="B730" t="s">
        <v>139</v>
      </c>
      <c r="C730" s="22">
        <v>46080</v>
      </c>
      <c r="D730" s="23">
        <v>38846</v>
      </c>
    </row>
    <row r="731" spans="1:4">
      <c r="A731" t="s">
        <v>18</v>
      </c>
      <c r="B731" t="s">
        <v>108</v>
      </c>
      <c r="C731" s="22">
        <v>46080</v>
      </c>
      <c r="D731" s="23">
        <v>37226</v>
      </c>
    </row>
    <row r="732" spans="1:4">
      <c r="A732" t="s">
        <v>21</v>
      </c>
      <c r="B732" t="s">
        <v>146</v>
      </c>
      <c r="C732" s="22">
        <v>46081</v>
      </c>
      <c r="D732" s="23">
        <v>40499</v>
      </c>
    </row>
    <row r="733" spans="1:4">
      <c r="A733" t="s">
        <v>21</v>
      </c>
      <c r="B733" t="s">
        <v>226</v>
      </c>
      <c r="C733" s="22">
        <v>46081</v>
      </c>
      <c r="D733" s="23">
        <v>38615</v>
      </c>
    </row>
    <row r="734" spans="1:4">
      <c r="A734" t="s">
        <v>21</v>
      </c>
      <c r="B734" t="s">
        <v>253</v>
      </c>
      <c r="C734" s="22">
        <v>46081</v>
      </c>
      <c r="D734" s="23">
        <v>38269</v>
      </c>
    </row>
    <row r="735" spans="1:4">
      <c r="A735" t="s">
        <v>21</v>
      </c>
      <c r="B735" t="s">
        <v>237</v>
      </c>
      <c r="C735" s="22">
        <v>46081</v>
      </c>
      <c r="D735" s="23">
        <v>22792</v>
      </c>
    </row>
    <row r="736" spans="1:4">
      <c r="A736" t="s">
        <v>21</v>
      </c>
      <c r="B736" t="s">
        <v>130</v>
      </c>
      <c r="C736" s="22">
        <v>46081</v>
      </c>
      <c r="D736" s="23">
        <v>30108</v>
      </c>
    </row>
    <row r="737" spans="1:4">
      <c r="A737" t="s">
        <v>26</v>
      </c>
      <c r="B737" t="s">
        <v>109</v>
      </c>
      <c r="C737" s="22">
        <v>46081</v>
      </c>
      <c r="D737" s="23">
        <v>17856</v>
      </c>
    </row>
    <row r="738" spans="1:4">
      <c r="A738" t="s">
        <v>31</v>
      </c>
      <c r="B738" t="s">
        <v>111</v>
      </c>
      <c r="C738" s="22">
        <v>46081</v>
      </c>
      <c r="D738" s="23">
        <v>12524</v>
      </c>
    </row>
    <row r="739" spans="1:4">
      <c r="A739" t="s">
        <v>34</v>
      </c>
      <c r="B739" t="s">
        <v>51</v>
      </c>
      <c r="C739" s="22">
        <v>46081</v>
      </c>
      <c r="D739" s="23">
        <v>5200</v>
      </c>
    </row>
    <row r="740" spans="1:4">
      <c r="A740" t="s">
        <v>34</v>
      </c>
      <c r="B740" t="s">
        <v>242</v>
      </c>
      <c r="C740" s="22">
        <v>46081</v>
      </c>
      <c r="D740" s="23">
        <v>9063</v>
      </c>
    </row>
    <row r="741" spans="1:4">
      <c r="A741" t="s">
        <v>23</v>
      </c>
      <c r="B741" t="s">
        <v>62</v>
      </c>
      <c r="C741" s="22">
        <v>46081</v>
      </c>
      <c r="D741" s="23">
        <v>13014</v>
      </c>
    </row>
    <row r="742" spans="1:4">
      <c r="A742" t="s">
        <v>23</v>
      </c>
      <c r="B742" t="s">
        <v>195</v>
      </c>
      <c r="C742" s="22">
        <v>46081</v>
      </c>
      <c r="D742" s="23">
        <v>7199</v>
      </c>
    </row>
    <row r="743" spans="1:4">
      <c r="A743" t="s">
        <v>29</v>
      </c>
      <c r="B743" t="s">
        <v>79</v>
      </c>
      <c r="C743" s="22">
        <v>46081</v>
      </c>
      <c r="D743" s="23">
        <v>16234</v>
      </c>
    </row>
    <row r="744" spans="1:4">
      <c r="A744" t="s">
        <v>22</v>
      </c>
      <c r="B744" t="s">
        <v>213</v>
      </c>
      <c r="C744" s="22">
        <v>46081</v>
      </c>
      <c r="D744" s="23">
        <v>31656</v>
      </c>
    </row>
    <row r="745" spans="1:4">
      <c r="A745" t="s">
        <v>38</v>
      </c>
      <c r="B745" t="s">
        <v>157</v>
      </c>
      <c r="C745" s="22">
        <v>46081</v>
      </c>
      <c r="D745" s="23">
        <v>13682</v>
      </c>
    </row>
    <row r="746" spans="1:4">
      <c r="A746" t="s">
        <v>20</v>
      </c>
      <c r="B746" t="s">
        <v>136</v>
      </c>
      <c r="C746" s="22">
        <v>46081</v>
      </c>
      <c r="D746" s="23">
        <v>26770</v>
      </c>
    </row>
    <row r="747" spans="1:4">
      <c r="A747" t="s">
        <v>20</v>
      </c>
      <c r="B747" t="s">
        <v>94</v>
      </c>
      <c r="C747" s="22">
        <v>46081</v>
      </c>
      <c r="D747" s="23">
        <v>39446</v>
      </c>
    </row>
    <row r="748" spans="1:4">
      <c r="A748" t="s">
        <v>20</v>
      </c>
      <c r="B748" t="s">
        <v>145</v>
      </c>
      <c r="C748" s="22">
        <v>46081</v>
      </c>
      <c r="D748" s="23">
        <v>32074</v>
      </c>
    </row>
    <row r="749" spans="1:4">
      <c r="A749" t="s">
        <v>20</v>
      </c>
      <c r="B749" t="s">
        <v>161</v>
      </c>
      <c r="C749" s="22">
        <v>46081</v>
      </c>
      <c r="D749" s="23">
        <v>25480</v>
      </c>
    </row>
    <row r="750" spans="1:4">
      <c r="A750" t="s">
        <v>20</v>
      </c>
      <c r="B750" t="s">
        <v>214</v>
      </c>
      <c r="C750" s="22">
        <v>46081</v>
      </c>
      <c r="D750" s="23">
        <v>41698</v>
      </c>
    </row>
    <row r="751" spans="1:4">
      <c r="A751" t="s">
        <v>20</v>
      </c>
      <c r="B751" t="s">
        <v>199</v>
      </c>
      <c r="C751" s="22">
        <v>46081</v>
      </c>
      <c r="D751" s="23">
        <v>32959</v>
      </c>
    </row>
    <row r="752" spans="1:4">
      <c r="A752" t="s">
        <v>20</v>
      </c>
      <c r="B752" t="s">
        <v>199</v>
      </c>
      <c r="C752" s="22">
        <v>46081</v>
      </c>
      <c r="D752" s="23">
        <v>34840</v>
      </c>
    </row>
    <row r="753" spans="1:4">
      <c r="A753" t="s">
        <v>20</v>
      </c>
      <c r="B753" t="s">
        <v>165</v>
      </c>
      <c r="C753" s="22">
        <v>46081</v>
      </c>
      <c r="D753" s="23">
        <v>28207</v>
      </c>
    </row>
    <row r="754" spans="1:4">
      <c r="A754" t="s">
        <v>20</v>
      </c>
      <c r="B754" t="s">
        <v>82</v>
      </c>
      <c r="C754" s="22">
        <v>46081</v>
      </c>
      <c r="D754" s="23">
        <v>24639</v>
      </c>
    </row>
    <row r="755" spans="1:4">
      <c r="A755" t="s">
        <v>18</v>
      </c>
      <c r="B755" t="s">
        <v>106</v>
      </c>
      <c r="C755" s="22">
        <v>46081</v>
      </c>
      <c r="D755" s="23">
        <v>48232</v>
      </c>
    </row>
    <row r="756" spans="1:4">
      <c r="A756" t="s">
        <v>18</v>
      </c>
      <c r="B756" t="s">
        <v>67</v>
      </c>
      <c r="C756" s="22">
        <v>46081</v>
      </c>
      <c r="D756" s="23">
        <v>39850</v>
      </c>
    </row>
    <row r="757" spans="1:4">
      <c r="A757" t="s">
        <v>18</v>
      </c>
      <c r="B757" t="s">
        <v>117</v>
      </c>
      <c r="C757" s="22">
        <v>46081</v>
      </c>
      <c r="D757" s="23">
        <v>37154</v>
      </c>
    </row>
    <row r="758" spans="1:4">
      <c r="A758" t="s">
        <v>18</v>
      </c>
      <c r="B758" t="s">
        <v>162</v>
      </c>
      <c r="C758" s="22">
        <v>46081</v>
      </c>
      <c r="D758" s="23">
        <v>38803</v>
      </c>
    </row>
    <row r="759" spans="1:4">
      <c r="A759" t="s">
        <v>18</v>
      </c>
      <c r="B759" t="s">
        <v>118</v>
      </c>
      <c r="C759" s="22">
        <v>46081</v>
      </c>
      <c r="D759" s="23">
        <v>42451</v>
      </c>
    </row>
    <row r="760" spans="1:4">
      <c r="A760" t="s">
        <v>18</v>
      </c>
      <c r="B760" t="s">
        <v>129</v>
      </c>
      <c r="C760" s="22">
        <v>46081</v>
      </c>
      <c r="D760" s="23">
        <v>47036</v>
      </c>
    </row>
    <row r="761" spans="1:4">
      <c r="A761" t="s">
        <v>18</v>
      </c>
      <c r="B761" t="s">
        <v>107</v>
      </c>
      <c r="C761" s="22">
        <v>46081</v>
      </c>
      <c r="D761" s="23">
        <v>31910</v>
      </c>
    </row>
    <row r="762" spans="1:4">
      <c r="A762" t="s">
        <v>21</v>
      </c>
      <c r="B762" t="s">
        <v>110</v>
      </c>
      <c r="C762" s="22">
        <v>46082</v>
      </c>
      <c r="D762" s="23">
        <v>35320</v>
      </c>
    </row>
    <row r="763" spans="1:4">
      <c r="A763" t="s">
        <v>21</v>
      </c>
      <c r="B763" t="s">
        <v>237</v>
      </c>
      <c r="C763" s="22">
        <v>46082</v>
      </c>
      <c r="D763" s="23">
        <v>25679</v>
      </c>
    </row>
    <row r="764" spans="1:4">
      <c r="A764" t="s">
        <v>21</v>
      </c>
      <c r="B764" t="s">
        <v>71</v>
      </c>
      <c r="C764" s="22">
        <v>46082</v>
      </c>
      <c r="D764" s="23">
        <v>45962</v>
      </c>
    </row>
    <row r="765" spans="1:4">
      <c r="A765" t="s">
        <v>26</v>
      </c>
      <c r="B765" t="s">
        <v>210</v>
      </c>
      <c r="C765" s="22">
        <v>46082</v>
      </c>
      <c r="D765" s="23">
        <v>18578</v>
      </c>
    </row>
    <row r="766" spans="1:4">
      <c r="A766" t="s">
        <v>27</v>
      </c>
      <c r="B766" t="s">
        <v>279</v>
      </c>
      <c r="C766" s="22">
        <v>46082</v>
      </c>
      <c r="D766" s="23">
        <v>18932</v>
      </c>
    </row>
    <row r="767" spans="1:4">
      <c r="A767" t="s">
        <v>27</v>
      </c>
      <c r="B767" t="s">
        <v>243</v>
      </c>
      <c r="C767" s="22">
        <v>46082</v>
      </c>
      <c r="D767" s="23">
        <v>5200</v>
      </c>
    </row>
    <row r="768" spans="1:4">
      <c r="A768" t="s">
        <v>34</v>
      </c>
      <c r="B768" t="s">
        <v>51</v>
      </c>
      <c r="C768" s="22">
        <v>46082</v>
      </c>
      <c r="D768" s="23">
        <v>20502</v>
      </c>
    </row>
    <row r="769" spans="1:4">
      <c r="A769" t="s">
        <v>22</v>
      </c>
      <c r="B769" t="s">
        <v>223</v>
      </c>
      <c r="C769" s="22">
        <v>46082</v>
      </c>
      <c r="D769" s="23">
        <v>22647</v>
      </c>
    </row>
    <row r="770" spans="1:4">
      <c r="A770" t="s">
        <v>20</v>
      </c>
      <c r="B770" t="s">
        <v>214</v>
      </c>
      <c r="C770" s="22">
        <v>46082</v>
      </c>
      <c r="D770" s="23">
        <v>31744</v>
      </c>
    </row>
    <row r="771" spans="1:4">
      <c r="A771" t="s">
        <v>18</v>
      </c>
      <c r="B771" t="s">
        <v>96</v>
      </c>
      <c r="C771" s="22">
        <v>46082</v>
      </c>
      <c r="D771" s="23">
        <v>47605</v>
      </c>
    </row>
    <row r="772" spans="1:4">
      <c r="A772" t="s">
        <v>18</v>
      </c>
      <c r="B772" t="s">
        <v>117</v>
      </c>
      <c r="C772" s="22">
        <v>46082</v>
      </c>
      <c r="D772" s="23">
        <v>40683</v>
      </c>
    </row>
    <row r="773" spans="1:4">
      <c r="A773" t="s">
        <v>18</v>
      </c>
      <c r="B773" t="s">
        <v>162</v>
      </c>
      <c r="C773" s="22">
        <v>46082</v>
      </c>
      <c r="D773" s="23">
        <v>40487</v>
      </c>
    </row>
    <row r="774" spans="1:4">
      <c r="A774" t="s">
        <v>18</v>
      </c>
      <c r="B774" t="s">
        <v>173</v>
      </c>
      <c r="C774" s="22">
        <v>46082</v>
      </c>
      <c r="D774" s="23">
        <v>32140</v>
      </c>
    </row>
    <row r="775" spans="1:4">
      <c r="A775" t="s">
        <v>18</v>
      </c>
      <c r="B775" t="s">
        <v>107</v>
      </c>
      <c r="C775" s="22">
        <v>46082</v>
      </c>
      <c r="D775" s="23">
        <v>31212</v>
      </c>
    </row>
    <row r="776" spans="1:4">
      <c r="A776" t="s">
        <v>21</v>
      </c>
      <c r="B776" t="s">
        <v>251</v>
      </c>
      <c r="C776" s="22">
        <v>46083</v>
      </c>
      <c r="D776" s="23">
        <v>39867</v>
      </c>
    </row>
    <row r="777" spans="1:4">
      <c r="A777" t="s">
        <v>21</v>
      </c>
      <c r="B777" t="s">
        <v>277</v>
      </c>
      <c r="C777" s="22">
        <v>46083</v>
      </c>
      <c r="D777" s="23">
        <v>27891</v>
      </c>
    </row>
    <row r="778" spans="1:4">
      <c r="A778" t="s">
        <v>21</v>
      </c>
      <c r="B778" t="s">
        <v>277</v>
      </c>
      <c r="C778" s="22">
        <v>46083</v>
      </c>
      <c r="D778" s="23">
        <v>24265</v>
      </c>
    </row>
    <row r="779" spans="1:4">
      <c r="A779" t="s">
        <v>21</v>
      </c>
      <c r="B779" t="s">
        <v>219</v>
      </c>
      <c r="C779" s="22">
        <v>46083</v>
      </c>
      <c r="D779" s="23">
        <v>29044</v>
      </c>
    </row>
    <row r="780" spans="1:4">
      <c r="A780" t="s">
        <v>21</v>
      </c>
      <c r="B780" t="s">
        <v>75</v>
      </c>
      <c r="C780" s="22">
        <v>46083</v>
      </c>
      <c r="D780" s="23">
        <v>34646</v>
      </c>
    </row>
    <row r="781" spans="1:4">
      <c r="A781" t="s">
        <v>21</v>
      </c>
      <c r="B781" t="s">
        <v>237</v>
      </c>
      <c r="C781" s="22">
        <v>46083</v>
      </c>
      <c r="D781" s="23">
        <v>19954</v>
      </c>
    </row>
    <row r="782" spans="1:4">
      <c r="A782" t="s">
        <v>27</v>
      </c>
      <c r="B782" t="s">
        <v>266</v>
      </c>
      <c r="C782" s="22">
        <v>46083</v>
      </c>
      <c r="D782" s="23">
        <v>12897</v>
      </c>
    </row>
    <row r="783" spans="1:4">
      <c r="A783" t="s">
        <v>25</v>
      </c>
      <c r="B783" t="s">
        <v>244</v>
      </c>
      <c r="C783" s="22">
        <v>46083</v>
      </c>
      <c r="D783" s="23">
        <v>20973</v>
      </c>
    </row>
    <row r="784" spans="1:4">
      <c r="A784" t="s">
        <v>29</v>
      </c>
      <c r="B784" t="s">
        <v>141</v>
      </c>
      <c r="C784" s="22">
        <v>46083</v>
      </c>
      <c r="D784" s="23">
        <v>13778</v>
      </c>
    </row>
    <row r="785" spans="1:4">
      <c r="A785" t="s">
        <v>22</v>
      </c>
      <c r="B785" t="s">
        <v>268</v>
      </c>
      <c r="C785" s="22">
        <v>46083</v>
      </c>
      <c r="D785" s="23">
        <v>27836</v>
      </c>
    </row>
    <row r="786" spans="1:4">
      <c r="A786" t="s">
        <v>18</v>
      </c>
      <c r="B786" t="s">
        <v>92</v>
      </c>
      <c r="C786" s="22">
        <v>46083</v>
      </c>
      <c r="D786" s="23">
        <v>49558</v>
      </c>
    </row>
    <row r="787" spans="1:4">
      <c r="A787" t="s">
        <v>18</v>
      </c>
      <c r="B787" t="s">
        <v>93</v>
      </c>
      <c r="C787" s="22">
        <v>46083</v>
      </c>
      <c r="D787" s="23">
        <v>38341</v>
      </c>
    </row>
    <row r="788" spans="1:4">
      <c r="A788" t="s">
        <v>18</v>
      </c>
      <c r="B788" t="s">
        <v>67</v>
      </c>
      <c r="C788" s="22">
        <v>46083</v>
      </c>
      <c r="D788" s="23">
        <v>48586</v>
      </c>
    </row>
    <row r="789" spans="1:4">
      <c r="A789" t="s">
        <v>18</v>
      </c>
      <c r="B789" t="s">
        <v>117</v>
      </c>
      <c r="C789" s="22">
        <v>46083</v>
      </c>
      <c r="D789" s="23">
        <v>47357</v>
      </c>
    </row>
    <row r="790" spans="1:4">
      <c r="A790" t="s">
        <v>18</v>
      </c>
      <c r="B790" t="s">
        <v>71</v>
      </c>
      <c r="C790" s="22">
        <v>46083</v>
      </c>
      <c r="D790" s="23">
        <v>45059</v>
      </c>
    </row>
    <row r="791" spans="1:4">
      <c r="A791" t="s">
        <v>21</v>
      </c>
      <c r="B791" t="s">
        <v>68</v>
      </c>
      <c r="C791" s="22">
        <v>46084</v>
      </c>
      <c r="D791" s="23">
        <v>37461</v>
      </c>
    </row>
    <row r="792" spans="1:4">
      <c r="A792" t="s">
        <v>25</v>
      </c>
      <c r="B792" t="s">
        <v>120</v>
      </c>
      <c r="C792" s="22">
        <v>46084</v>
      </c>
      <c r="D792" s="23">
        <v>19371</v>
      </c>
    </row>
    <row r="793" spans="1:4">
      <c r="A793" t="s">
        <v>22</v>
      </c>
      <c r="B793" t="s">
        <v>280</v>
      </c>
      <c r="C793" s="22">
        <v>46084</v>
      </c>
      <c r="D793" s="23">
        <v>27316</v>
      </c>
    </row>
    <row r="794" spans="1:4">
      <c r="A794" t="s">
        <v>38</v>
      </c>
      <c r="B794" t="s">
        <v>157</v>
      </c>
      <c r="C794" s="22">
        <v>46084</v>
      </c>
      <c r="D794" s="23">
        <v>14010</v>
      </c>
    </row>
    <row r="795" spans="1:4">
      <c r="A795" t="s">
        <v>20</v>
      </c>
      <c r="B795" t="s">
        <v>189</v>
      </c>
      <c r="C795" s="22">
        <v>46084</v>
      </c>
      <c r="D795" s="23">
        <v>30067</v>
      </c>
    </row>
    <row r="796" spans="1:4">
      <c r="A796" t="s">
        <v>20</v>
      </c>
      <c r="B796" t="s">
        <v>207</v>
      </c>
      <c r="C796" s="22">
        <v>46084</v>
      </c>
      <c r="D796" s="23">
        <v>34809</v>
      </c>
    </row>
    <row r="797" spans="1:4">
      <c r="A797" t="s">
        <v>20</v>
      </c>
      <c r="B797" t="s">
        <v>90</v>
      </c>
      <c r="C797" s="22">
        <v>46084</v>
      </c>
      <c r="D797" s="23">
        <v>32171</v>
      </c>
    </row>
    <row r="798" spans="1:4">
      <c r="A798" t="s">
        <v>20</v>
      </c>
      <c r="B798" t="s">
        <v>104</v>
      </c>
      <c r="C798" s="22">
        <v>46084</v>
      </c>
      <c r="D798" s="23">
        <v>39977</v>
      </c>
    </row>
    <row r="799" spans="1:4">
      <c r="A799" t="s">
        <v>20</v>
      </c>
      <c r="B799" t="s">
        <v>104</v>
      </c>
      <c r="C799" s="22">
        <v>46084</v>
      </c>
      <c r="D799" s="23">
        <v>33157</v>
      </c>
    </row>
    <row r="800" spans="1:4">
      <c r="A800" t="s">
        <v>18</v>
      </c>
      <c r="B800" t="s">
        <v>64</v>
      </c>
      <c r="C800" s="22">
        <v>46084</v>
      </c>
      <c r="D800" s="23">
        <v>49412</v>
      </c>
    </row>
    <row r="801" spans="1:4">
      <c r="A801" t="s">
        <v>18</v>
      </c>
      <c r="B801" t="s">
        <v>84</v>
      </c>
      <c r="C801" s="22">
        <v>46084</v>
      </c>
      <c r="D801" s="23">
        <v>30416</v>
      </c>
    </row>
    <row r="802" spans="1:4">
      <c r="A802" t="s">
        <v>18</v>
      </c>
      <c r="B802" t="s">
        <v>171</v>
      </c>
      <c r="C802" s="22">
        <v>46084</v>
      </c>
      <c r="D802" s="23">
        <v>29141</v>
      </c>
    </row>
    <row r="803" spans="1:4">
      <c r="A803" t="s">
        <v>18</v>
      </c>
      <c r="B803" t="s">
        <v>107</v>
      </c>
      <c r="C803" s="22">
        <v>46084</v>
      </c>
      <c r="D803" s="23">
        <v>41777</v>
      </c>
    </row>
    <row r="804" spans="1:4">
      <c r="A804" t="s">
        <v>28</v>
      </c>
      <c r="B804" t="s">
        <v>198</v>
      </c>
      <c r="C804" s="22">
        <v>46085</v>
      </c>
      <c r="D804" s="23">
        <v>24930</v>
      </c>
    </row>
    <row r="805" spans="1:4">
      <c r="A805" t="s">
        <v>21</v>
      </c>
      <c r="B805" t="s">
        <v>130</v>
      </c>
      <c r="C805" s="22">
        <v>46085</v>
      </c>
      <c r="D805" s="23">
        <v>24103</v>
      </c>
    </row>
    <row r="806" spans="1:4">
      <c r="A806" t="s">
        <v>21</v>
      </c>
      <c r="B806" t="s">
        <v>163</v>
      </c>
      <c r="C806" s="22">
        <v>46085</v>
      </c>
      <c r="D806" s="23">
        <v>24204</v>
      </c>
    </row>
    <row r="807" spans="1:4">
      <c r="A807" t="s">
        <v>26</v>
      </c>
      <c r="B807" t="s">
        <v>270</v>
      </c>
      <c r="C807" s="22">
        <v>46085</v>
      </c>
      <c r="D807" s="23">
        <v>12018</v>
      </c>
    </row>
    <row r="808" spans="1:4">
      <c r="A808" t="s">
        <v>23</v>
      </c>
      <c r="B808" t="s">
        <v>262</v>
      </c>
      <c r="C808" s="22">
        <v>46085</v>
      </c>
      <c r="D808" s="23">
        <v>22758</v>
      </c>
    </row>
    <row r="809" spans="1:4">
      <c r="A809" t="s">
        <v>23</v>
      </c>
      <c r="B809" t="s">
        <v>195</v>
      </c>
      <c r="C809" s="22">
        <v>46085</v>
      </c>
      <c r="D809" s="23">
        <v>5200</v>
      </c>
    </row>
    <row r="810" spans="1:4">
      <c r="A810" t="s">
        <v>22</v>
      </c>
      <c r="B810" t="s">
        <v>80</v>
      </c>
      <c r="C810" s="22">
        <v>46085</v>
      </c>
      <c r="D810" s="23">
        <v>25637</v>
      </c>
    </row>
    <row r="811" spans="1:4">
      <c r="A811" t="s">
        <v>22</v>
      </c>
      <c r="B811" t="s">
        <v>81</v>
      </c>
      <c r="C811" s="22">
        <v>46085</v>
      </c>
      <c r="D811" s="23">
        <v>34894</v>
      </c>
    </row>
    <row r="812" spans="1:4">
      <c r="A812" t="s">
        <v>20</v>
      </c>
      <c r="B812" t="s">
        <v>102</v>
      </c>
      <c r="C812" s="22">
        <v>46085</v>
      </c>
      <c r="D812" s="23">
        <v>28932</v>
      </c>
    </row>
    <row r="813" spans="1:4">
      <c r="A813" t="s">
        <v>20</v>
      </c>
      <c r="B813" t="s">
        <v>103</v>
      </c>
      <c r="C813" s="22">
        <v>46085</v>
      </c>
      <c r="D813" s="23">
        <v>33514</v>
      </c>
    </row>
    <row r="814" spans="1:4">
      <c r="A814" t="s">
        <v>18</v>
      </c>
      <c r="B814" t="s">
        <v>106</v>
      </c>
      <c r="C814" s="22">
        <v>46085</v>
      </c>
      <c r="D814" s="23">
        <v>40996</v>
      </c>
    </row>
    <row r="815" spans="1:4">
      <c r="A815" t="s">
        <v>18</v>
      </c>
      <c r="B815" t="s">
        <v>106</v>
      </c>
      <c r="C815" s="22">
        <v>46085</v>
      </c>
      <c r="D815" s="23">
        <v>50739</v>
      </c>
    </row>
    <row r="816" spans="1:4">
      <c r="A816" t="s">
        <v>18</v>
      </c>
      <c r="B816" t="s">
        <v>190</v>
      </c>
      <c r="C816" s="22">
        <v>46085</v>
      </c>
      <c r="D816" s="23">
        <v>38221</v>
      </c>
    </row>
    <row r="817" spans="1:4">
      <c r="A817" t="s">
        <v>18</v>
      </c>
      <c r="B817" t="s">
        <v>93</v>
      </c>
      <c r="C817" s="22">
        <v>46085</v>
      </c>
      <c r="D817" s="23">
        <v>39368</v>
      </c>
    </row>
    <row r="818" spans="1:4">
      <c r="A818" t="s">
        <v>18</v>
      </c>
      <c r="B818" t="s">
        <v>96</v>
      </c>
      <c r="C818" s="22">
        <v>46085</v>
      </c>
      <c r="D818" s="23">
        <v>33726</v>
      </c>
    </row>
    <row r="819" spans="1:4">
      <c r="A819" t="s">
        <v>18</v>
      </c>
      <c r="B819" t="s">
        <v>159</v>
      </c>
      <c r="C819" s="22">
        <v>46085</v>
      </c>
      <c r="D819" s="23">
        <v>38927</v>
      </c>
    </row>
    <row r="820" spans="1:4">
      <c r="A820" t="s">
        <v>21</v>
      </c>
      <c r="B820" t="s">
        <v>110</v>
      </c>
      <c r="C820" s="22">
        <v>46086</v>
      </c>
      <c r="D820" s="23">
        <v>27779</v>
      </c>
    </row>
    <row r="821" spans="1:4">
      <c r="A821" t="s">
        <v>21</v>
      </c>
      <c r="B821" t="s">
        <v>164</v>
      </c>
      <c r="C821" s="22">
        <v>46086</v>
      </c>
      <c r="D821" s="23">
        <v>40343</v>
      </c>
    </row>
    <row r="822" spans="1:4">
      <c r="A822" t="s">
        <v>26</v>
      </c>
      <c r="B822" t="s">
        <v>263</v>
      </c>
      <c r="C822" s="22">
        <v>46086</v>
      </c>
      <c r="D822" s="23">
        <v>13681</v>
      </c>
    </row>
    <row r="823" spans="1:4">
      <c r="A823" t="s">
        <v>27</v>
      </c>
      <c r="B823" t="s">
        <v>256</v>
      </c>
      <c r="C823" s="22">
        <v>46086</v>
      </c>
      <c r="D823" s="23">
        <v>15621</v>
      </c>
    </row>
    <row r="824" spans="1:4">
      <c r="A824" t="s">
        <v>35</v>
      </c>
      <c r="B824" t="s">
        <v>123</v>
      </c>
      <c r="C824" s="22">
        <v>46086</v>
      </c>
      <c r="D824" s="23">
        <v>14542</v>
      </c>
    </row>
    <row r="825" spans="1:4">
      <c r="A825" t="s">
        <v>22</v>
      </c>
      <c r="B825" t="s">
        <v>125</v>
      </c>
      <c r="C825" s="22">
        <v>46086</v>
      </c>
      <c r="D825" s="23">
        <v>33629</v>
      </c>
    </row>
    <row r="826" spans="1:4">
      <c r="A826" t="s">
        <v>20</v>
      </c>
      <c r="B826" t="s">
        <v>145</v>
      </c>
      <c r="C826" s="22">
        <v>46086</v>
      </c>
      <c r="D826" s="23">
        <v>31705</v>
      </c>
    </row>
    <row r="827" spans="1:4">
      <c r="A827" t="s">
        <v>20</v>
      </c>
      <c r="B827" t="s">
        <v>199</v>
      </c>
      <c r="C827" s="22">
        <v>46086</v>
      </c>
      <c r="D827" s="23">
        <v>40438</v>
      </c>
    </row>
    <row r="828" spans="1:4">
      <c r="A828" t="s">
        <v>18</v>
      </c>
      <c r="B828" t="s">
        <v>96</v>
      </c>
      <c r="C828" s="22">
        <v>46086</v>
      </c>
      <c r="D828" s="23">
        <v>40133</v>
      </c>
    </row>
    <row r="829" spans="1:4">
      <c r="A829" t="s">
        <v>28</v>
      </c>
      <c r="B829" t="s">
        <v>235</v>
      </c>
      <c r="C829" s="22">
        <v>46087</v>
      </c>
      <c r="D829" s="23">
        <v>19007</v>
      </c>
    </row>
    <row r="830" spans="1:4">
      <c r="A830" t="s">
        <v>28</v>
      </c>
      <c r="B830" t="s">
        <v>225</v>
      </c>
      <c r="C830" s="22">
        <v>46087</v>
      </c>
      <c r="D830" s="23">
        <v>12198</v>
      </c>
    </row>
    <row r="831" spans="1:4">
      <c r="A831" t="s">
        <v>26</v>
      </c>
      <c r="B831" t="s">
        <v>175</v>
      </c>
      <c r="C831" s="22">
        <v>46087</v>
      </c>
      <c r="D831" s="23">
        <v>12378</v>
      </c>
    </row>
    <row r="832" spans="1:4">
      <c r="A832" t="s">
        <v>31</v>
      </c>
      <c r="B832" t="s">
        <v>49</v>
      </c>
      <c r="C832" s="22">
        <v>46087</v>
      </c>
      <c r="D832" s="23">
        <v>11354</v>
      </c>
    </row>
    <row r="833" spans="1:4">
      <c r="A833" t="s">
        <v>25</v>
      </c>
      <c r="B833" t="s">
        <v>167</v>
      </c>
      <c r="C833" s="22">
        <v>46087</v>
      </c>
      <c r="D833" s="23">
        <v>23221</v>
      </c>
    </row>
    <row r="834" spans="1:4">
      <c r="A834" t="s">
        <v>29</v>
      </c>
      <c r="B834" t="s">
        <v>142</v>
      </c>
      <c r="C834" s="22">
        <v>46087</v>
      </c>
      <c r="D834" s="23">
        <v>14367</v>
      </c>
    </row>
    <row r="835" spans="1:4">
      <c r="A835" t="s">
        <v>22</v>
      </c>
      <c r="B835" t="s">
        <v>188</v>
      </c>
      <c r="C835" s="22">
        <v>46087</v>
      </c>
      <c r="D835" s="23">
        <v>30551</v>
      </c>
    </row>
    <row r="836" spans="1:4">
      <c r="A836" t="s">
        <v>22</v>
      </c>
      <c r="B836" t="s">
        <v>145</v>
      </c>
      <c r="C836" s="22">
        <v>46087</v>
      </c>
      <c r="D836" s="23">
        <v>32293</v>
      </c>
    </row>
    <row r="837" spans="1:4">
      <c r="A837" t="s">
        <v>20</v>
      </c>
      <c r="B837" t="s">
        <v>95</v>
      </c>
      <c r="C837" s="22">
        <v>46087</v>
      </c>
      <c r="D837" s="23">
        <v>35885</v>
      </c>
    </row>
    <row r="838" spans="1:4">
      <c r="A838" t="s">
        <v>20</v>
      </c>
      <c r="B838" t="s">
        <v>163</v>
      </c>
      <c r="C838" s="22">
        <v>46087</v>
      </c>
      <c r="D838" s="23">
        <v>22397</v>
      </c>
    </row>
    <row r="839" spans="1:4">
      <c r="A839" t="s">
        <v>20</v>
      </c>
      <c r="B839" t="s">
        <v>104</v>
      </c>
      <c r="C839" s="22">
        <v>46087</v>
      </c>
      <c r="D839" s="23">
        <v>38453</v>
      </c>
    </row>
    <row r="840" spans="1:4">
      <c r="A840" t="s">
        <v>20</v>
      </c>
      <c r="B840" t="s">
        <v>191</v>
      </c>
      <c r="C840" s="22">
        <v>46087</v>
      </c>
      <c r="D840" s="23">
        <v>57893</v>
      </c>
    </row>
    <row r="841" spans="1:4">
      <c r="A841" t="s">
        <v>20</v>
      </c>
      <c r="B841" t="s">
        <v>214</v>
      </c>
      <c r="C841" s="22">
        <v>46087</v>
      </c>
      <c r="D841" s="23">
        <v>35283</v>
      </c>
    </row>
    <row r="842" spans="1:4">
      <c r="A842" t="s">
        <v>20</v>
      </c>
      <c r="B842" t="s">
        <v>165</v>
      </c>
      <c r="C842" s="22">
        <v>46087</v>
      </c>
      <c r="D842" s="23">
        <v>29592</v>
      </c>
    </row>
    <row r="843" spans="1:4">
      <c r="A843" t="s">
        <v>18</v>
      </c>
      <c r="B843" t="s">
        <v>47</v>
      </c>
      <c r="C843" s="22">
        <v>46087</v>
      </c>
      <c r="D843" s="23">
        <v>36312</v>
      </c>
    </row>
    <row r="844" spans="1:4">
      <c r="A844" t="s">
        <v>18</v>
      </c>
      <c r="B844" t="s">
        <v>192</v>
      </c>
      <c r="C844" s="22">
        <v>46087</v>
      </c>
      <c r="D844" s="23">
        <v>44700</v>
      </c>
    </row>
    <row r="845" spans="1:4">
      <c r="A845" t="s">
        <v>18</v>
      </c>
      <c r="B845" t="s">
        <v>250</v>
      </c>
      <c r="C845" s="22">
        <v>46087</v>
      </c>
      <c r="D845" s="23">
        <v>29154</v>
      </c>
    </row>
    <row r="846" spans="1:4">
      <c r="A846" t="s">
        <v>18</v>
      </c>
      <c r="B846" t="s">
        <v>208</v>
      </c>
      <c r="C846" s="22">
        <v>46087</v>
      </c>
      <c r="D846" s="23">
        <v>60102</v>
      </c>
    </row>
    <row r="847" spans="1:4">
      <c r="A847" t="s">
        <v>18</v>
      </c>
      <c r="B847" t="s">
        <v>72</v>
      </c>
      <c r="C847" s="22">
        <v>46087</v>
      </c>
      <c r="D847" s="23">
        <v>43210</v>
      </c>
    </row>
    <row r="848" spans="1:4">
      <c r="A848" t="s">
        <v>18</v>
      </c>
      <c r="B848" t="s">
        <v>97</v>
      </c>
      <c r="C848" s="22">
        <v>46087</v>
      </c>
      <c r="D848" s="23">
        <v>54447</v>
      </c>
    </row>
    <row r="849" spans="1:4">
      <c r="A849" t="s">
        <v>37</v>
      </c>
      <c r="B849" t="s">
        <v>73</v>
      </c>
      <c r="C849" s="22">
        <v>46088</v>
      </c>
      <c r="D849" s="23">
        <v>14813</v>
      </c>
    </row>
    <row r="850" spans="1:4">
      <c r="A850" t="s">
        <v>28</v>
      </c>
      <c r="B850" t="s">
        <v>216</v>
      </c>
      <c r="C850" s="22">
        <v>46088</v>
      </c>
      <c r="D850" s="23">
        <v>14635</v>
      </c>
    </row>
    <row r="851" spans="1:4">
      <c r="A851" t="s">
        <v>21</v>
      </c>
      <c r="B851" t="s">
        <v>173</v>
      </c>
      <c r="C851" s="22">
        <v>46088</v>
      </c>
      <c r="D851" s="23">
        <v>28296</v>
      </c>
    </row>
    <row r="852" spans="1:4">
      <c r="A852" t="s">
        <v>33</v>
      </c>
      <c r="B852" t="s">
        <v>236</v>
      </c>
      <c r="C852" s="22">
        <v>46088</v>
      </c>
      <c r="D852" s="23">
        <v>14416</v>
      </c>
    </row>
    <row r="853" spans="1:4">
      <c r="A853" t="s">
        <v>31</v>
      </c>
      <c r="B853" t="s">
        <v>176</v>
      </c>
      <c r="C853" s="22">
        <v>46088</v>
      </c>
      <c r="D853" s="23">
        <v>13531</v>
      </c>
    </row>
    <row r="854" spans="1:4">
      <c r="A854" t="s">
        <v>20</v>
      </c>
      <c r="B854" t="s">
        <v>197</v>
      </c>
      <c r="C854" s="22">
        <v>46088</v>
      </c>
      <c r="D854" s="23">
        <v>46789</v>
      </c>
    </row>
    <row r="855" spans="1:4">
      <c r="A855" t="s">
        <v>20</v>
      </c>
      <c r="B855" t="s">
        <v>102</v>
      </c>
      <c r="C855" s="22">
        <v>46088</v>
      </c>
      <c r="D855" s="23">
        <v>30289</v>
      </c>
    </row>
    <row r="856" spans="1:4">
      <c r="A856" t="s">
        <v>20</v>
      </c>
      <c r="B856" t="s">
        <v>215</v>
      </c>
      <c r="C856" s="22">
        <v>46088</v>
      </c>
      <c r="D856" s="23">
        <v>25809</v>
      </c>
    </row>
    <row r="857" spans="1:4">
      <c r="A857" t="s">
        <v>18</v>
      </c>
      <c r="B857" t="s">
        <v>67</v>
      </c>
      <c r="C857" s="22">
        <v>46088</v>
      </c>
      <c r="D857" s="23">
        <v>31620</v>
      </c>
    </row>
    <row r="858" spans="1:4">
      <c r="A858" t="s">
        <v>18</v>
      </c>
      <c r="B858" t="s">
        <v>70</v>
      </c>
      <c r="C858" s="22">
        <v>46088</v>
      </c>
      <c r="D858" s="23">
        <v>55407</v>
      </c>
    </row>
    <row r="859" spans="1:4">
      <c r="A859" t="s">
        <v>18</v>
      </c>
      <c r="B859" t="s">
        <v>118</v>
      </c>
      <c r="C859" s="22">
        <v>46088</v>
      </c>
      <c r="D859" s="23">
        <v>34618</v>
      </c>
    </row>
    <row r="860" spans="1:4">
      <c r="A860" t="s">
        <v>18</v>
      </c>
      <c r="B860" t="s">
        <v>86</v>
      </c>
      <c r="C860" s="22">
        <v>46088</v>
      </c>
      <c r="D860" s="23">
        <v>28635</v>
      </c>
    </row>
    <row r="861" spans="1:4">
      <c r="A861" t="s">
        <v>21</v>
      </c>
      <c r="B861" t="s">
        <v>252</v>
      </c>
      <c r="C861" s="22">
        <v>46089</v>
      </c>
      <c r="D861" s="23">
        <v>51478</v>
      </c>
    </row>
    <row r="862" spans="1:4">
      <c r="A862" t="s">
        <v>33</v>
      </c>
      <c r="B862" t="s">
        <v>149</v>
      </c>
      <c r="C862" s="22">
        <v>46089</v>
      </c>
      <c r="D862" s="23">
        <v>12935</v>
      </c>
    </row>
    <row r="863" spans="1:4">
      <c r="A863" t="s">
        <v>26</v>
      </c>
      <c r="B863" t="s">
        <v>255</v>
      </c>
      <c r="C863" s="22">
        <v>46089</v>
      </c>
      <c r="D863" s="23">
        <v>11199</v>
      </c>
    </row>
    <row r="864" spans="1:4">
      <c r="A864" t="s">
        <v>20</v>
      </c>
      <c r="B864" t="s">
        <v>189</v>
      </c>
      <c r="C864" s="22">
        <v>46089</v>
      </c>
      <c r="D864" s="23">
        <v>25218</v>
      </c>
    </row>
    <row r="865" spans="1:4">
      <c r="A865" t="s">
        <v>20</v>
      </c>
      <c r="B865" t="s">
        <v>83</v>
      </c>
      <c r="C865" s="22">
        <v>46089</v>
      </c>
      <c r="D865" s="23">
        <v>27248</v>
      </c>
    </row>
    <row r="866" spans="1:4">
      <c r="A866" t="s">
        <v>33</v>
      </c>
      <c r="B866" t="s">
        <v>154</v>
      </c>
      <c r="C866" s="22">
        <v>46090</v>
      </c>
      <c r="D866" s="23">
        <v>17441</v>
      </c>
    </row>
    <row r="867" spans="1:4">
      <c r="A867" t="s">
        <v>32</v>
      </c>
      <c r="B867" t="s">
        <v>50</v>
      </c>
      <c r="C867" s="22">
        <v>46090</v>
      </c>
      <c r="D867" s="23">
        <v>5200</v>
      </c>
    </row>
    <row r="868" spans="1:4">
      <c r="A868" t="s">
        <v>23</v>
      </c>
      <c r="B868" t="s">
        <v>233</v>
      </c>
      <c r="C868" s="22">
        <v>46090</v>
      </c>
      <c r="D868" s="23">
        <v>18674</v>
      </c>
    </row>
    <row r="869" spans="1:4">
      <c r="A869" t="s">
        <v>23</v>
      </c>
      <c r="B869" t="s">
        <v>258</v>
      </c>
      <c r="C869" s="22">
        <v>46090</v>
      </c>
      <c r="D869" s="23">
        <v>27849</v>
      </c>
    </row>
    <row r="870" spans="1:4">
      <c r="A870" t="s">
        <v>35</v>
      </c>
      <c r="B870" t="s">
        <v>122</v>
      </c>
      <c r="C870" s="22">
        <v>46090</v>
      </c>
      <c r="D870" s="23">
        <v>13380</v>
      </c>
    </row>
    <row r="871" spans="1:4">
      <c r="A871" t="s">
        <v>20</v>
      </c>
      <c r="B871" t="s">
        <v>272</v>
      </c>
      <c r="C871" s="22">
        <v>46090</v>
      </c>
      <c r="D871" s="23">
        <v>33419</v>
      </c>
    </row>
    <row r="872" spans="1:4">
      <c r="A872" t="s">
        <v>18</v>
      </c>
      <c r="B872" t="s">
        <v>54</v>
      </c>
      <c r="C872" s="22">
        <v>46090</v>
      </c>
      <c r="D872" s="23">
        <v>51002</v>
      </c>
    </row>
    <row r="873" spans="1:4">
      <c r="A873" t="s">
        <v>18</v>
      </c>
      <c r="B873" t="s">
        <v>72</v>
      </c>
      <c r="C873" s="22">
        <v>46090</v>
      </c>
      <c r="D873" s="23">
        <v>56900</v>
      </c>
    </row>
    <row r="874" spans="1:4">
      <c r="A874" t="s">
        <v>18</v>
      </c>
      <c r="B874" t="s">
        <v>107</v>
      </c>
      <c r="C874" s="22">
        <v>46090</v>
      </c>
      <c r="D874" s="23">
        <v>41268</v>
      </c>
    </row>
    <row r="875" spans="1:4">
      <c r="A875" t="s">
        <v>32</v>
      </c>
      <c r="B875" t="s">
        <v>205</v>
      </c>
      <c r="C875" s="22">
        <v>46091</v>
      </c>
      <c r="D875" s="23">
        <v>7311</v>
      </c>
    </row>
    <row r="876" spans="1:4">
      <c r="A876" t="s">
        <v>25</v>
      </c>
      <c r="B876" t="s">
        <v>61</v>
      </c>
      <c r="C876" s="22">
        <v>46091</v>
      </c>
      <c r="D876" s="23">
        <v>36562</v>
      </c>
    </row>
    <row r="877" spans="1:4">
      <c r="A877" t="s">
        <v>25</v>
      </c>
      <c r="B877" t="s">
        <v>267</v>
      </c>
      <c r="C877" s="22">
        <v>46091</v>
      </c>
      <c r="D877" s="23">
        <v>16323</v>
      </c>
    </row>
    <row r="878" spans="1:4">
      <c r="A878" t="s">
        <v>25</v>
      </c>
      <c r="B878" t="s">
        <v>113</v>
      </c>
      <c r="C878" s="22">
        <v>46091</v>
      </c>
      <c r="D878" s="23">
        <v>19529</v>
      </c>
    </row>
    <row r="879" spans="1:4">
      <c r="A879" t="s">
        <v>29</v>
      </c>
      <c r="B879" t="s">
        <v>222</v>
      </c>
      <c r="C879" s="22">
        <v>46091</v>
      </c>
      <c r="D879" s="23">
        <v>13579</v>
      </c>
    </row>
    <row r="880" spans="1:4">
      <c r="A880" t="s">
        <v>20</v>
      </c>
      <c r="B880" t="s">
        <v>126</v>
      </c>
      <c r="C880" s="22">
        <v>46091</v>
      </c>
      <c r="D880" s="23">
        <v>48252</v>
      </c>
    </row>
    <row r="881" spans="1:4">
      <c r="A881" t="s">
        <v>20</v>
      </c>
      <c r="B881" t="s">
        <v>170</v>
      </c>
      <c r="C881" s="22">
        <v>46091</v>
      </c>
      <c r="D881" s="23">
        <v>32041</v>
      </c>
    </row>
    <row r="882" spans="1:4">
      <c r="A882" t="s">
        <v>20</v>
      </c>
      <c r="B882" t="s">
        <v>82</v>
      </c>
      <c r="C882" s="22">
        <v>46091</v>
      </c>
      <c r="D882" s="23">
        <v>30052</v>
      </c>
    </row>
    <row r="883" spans="1:4">
      <c r="A883" t="s">
        <v>18</v>
      </c>
      <c r="B883" t="s">
        <v>171</v>
      </c>
      <c r="C883" s="22">
        <v>46091</v>
      </c>
      <c r="D883" s="23">
        <v>36420</v>
      </c>
    </row>
    <row r="884" spans="1:4">
      <c r="A884" t="s">
        <v>21</v>
      </c>
      <c r="B884" t="s">
        <v>140</v>
      </c>
      <c r="C884" s="22">
        <v>46092</v>
      </c>
      <c r="D884" s="23">
        <v>37152</v>
      </c>
    </row>
    <row r="885" spans="1:4">
      <c r="A885" t="s">
        <v>31</v>
      </c>
      <c r="B885" t="s">
        <v>60</v>
      </c>
      <c r="C885" s="22">
        <v>46092</v>
      </c>
      <c r="D885" s="23">
        <v>13576</v>
      </c>
    </row>
    <row r="886" spans="1:4">
      <c r="A886" t="s">
        <v>32</v>
      </c>
      <c r="B886" t="s">
        <v>156</v>
      </c>
      <c r="C886" s="22">
        <v>46092</v>
      </c>
      <c r="D886" s="23">
        <v>14636</v>
      </c>
    </row>
    <row r="887" spans="1:4">
      <c r="A887" t="s">
        <v>22</v>
      </c>
      <c r="B887" t="s">
        <v>271</v>
      </c>
      <c r="C887" s="22">
        <v>46092</v>
      </c>
      <c r="D887" s="23">
        <v>28565</v>
      </c>
    </row>
    <row r="888" spans="1:4">
      <c r="A888" t="s">
        <v>20</v>
      </c>
      <c r="B888" t="s">
        <v>206</v>
      </c>
      <c r="C888" s="22">
        <v>46092</v>
      </c>
      <c r="D888" s="23">
        <v>32584</v>
      </c>
    </row>
    <row r="889" spans="1:4">
      <c r="A889" t="s">
        <v>20</v>
      </c>
      <c r="B889" t="s">
        <v>102</v>
      </c>
      <c r="C889" s="22">
        <v>46092</v>
      </c>
      <c r="D889" s="23">
        <v>25193</v>
      </c>
    </row>
    <row r="890" spans="1:4">
      <c r="A890" t="s">
        <v>20</v>
      </c>
      <c r="B890" t="s">
        <v>170</v>
      </c>
      <c r="C890" s="22">
        <v>46092</v>
      </c>
      <c r="D890" s="23">
        <v>27851</v>
      </c>
    </row>
    <row r="891" spans="1:4">
      <c r="A891" t="s">
        <v>20</v>
      </c>
      <c r="B891" t="s">
        <v>91</v>
      </c>
      <c r="C891" s="22">
        <v>46092</v>
      </c>
      <c r="D891" s="23">
        <v>44040</v>
      </c>
    </row>
    <row r="892" spans="1:4">
      <c r="A892" t="s">
        <v>18</v>
      </c>
      <c r="B892" t="s">
        <v>190</v>
      </c>
      <c r="C892" s="22">
        <v>46092</v>
      </c>
      <c r="D892" s="23">
        <v>40704</v>
      </c>
    </row>
    <row r="893" spans="1:4">
      <c r="A893" t="s">
        <v>18</v>
      </c>
      <c r="B893" t="s">
        <v>260</v>
      </c>
      <c r="C893" s="22">
        <v>46092</v>
      </c>
      <c r="D893" s="23">
        <v>56456</v>
      </c>
    </row>
    <row r="894" spans="1:4">
      <c r="A894" t="s">
        <v>18</v>
      </c>
      <c r="B894" t="s">
        <v>95</v>
      </c>
      <c r="C894" s="22">
        <v>46092</v>
      </c>
      <c r="D894" s="23">
        <v>34876</v>
      </c>
    </row>
    <row r="895" spans="1:4">
      <c r="A895" t="s">
        <v>21</v>
      </c>
      <c r="B895" t="s">
        <v>226</v>
      </c>
      <c r="C895" s="22">
        <v>46093</v>
      </c>
      <c r="D895" s="23">
        <v>38727</v>
      </c>
    </row>
    <row r="896" spans="1:4">
      <c r="A896" t="s">
        <v>26</v>
      </c>
      <c r="B896" t="s">
        <v>203</v>
      </c>
      <c r="C896" s="22">
        <v>46093</v>
      </c>
      <c r="D896" s="23">
        <v>17402</v>
      </c>
    </row>
    <row r="897" spans="1:4">
      <c r="A897" t="s">
        <v>25</v>
      </c>
      <c r="B897" t="s">
        <v>132</v>
      </c>
      <c r="C897" s="22">
        <v>46093</v>
      </c>
      <c r="D897" s="23">
        <v>26033</v>
      </c>
    </row>
    <row r="898" spans="1:4">
      <c r="A898" t="s">
        <v>25</v>
      </c>
      <c r="B898" t="s">
        <v>275</v>
      </c>
      <c r="C898" s="22">
        <v>46093</v>
      </c>
      <c r="D898" s="23">
        <v>39201</v>
      </c>
    </row>
    <row r="899" spans="1:4">
      <c r="A899" t="s">
        <v>23</v>
      </c>
      <c r="B899" t="s">
        <v>78</v>
      </c>
      <c r="C899" s="22">
        <v>46093</v>
      </c>
      <c r="D899" s="23">
        <v>43025</v>
      </c>
    </row>
    <row r="900" spans="1:4">
      <c r="A900" t="s">
        <v>22</v>
      </c>
      <c r="B900" t="s">
        <v>248</v>
      </c>
      <c r="C900" s="22">
        <v>46093</v>
      </c>
      <c r="D900" s="23">
        <v>29627</v>
      </c>
    </row>
    <row r="901" spans="1:4">
      <c r="A901" t="s">
        <v>22</v>
      </c>
      <c r="B901" t="s">
        <v>134</v>
      </c>
      <c r="C901" s="22">
        <v>46093</v>
      </c>
      <c r="D901" s="23">
        <v>24833</v>
      </c>
    </row>
    <row r="902" spans="1:4">
      <c r="A902" t="s">
        <v>20</v>
      </c>
      <c r="B902" t="s">
        <v>136</v>
      </c>
      <c r="C902" s="22">
        <v>46093</v>
      </c>
      <c r="D902" s="23">
        <v>30472</v>
      </c>
    </row>
    <row r="903" spans="1:4">
      <c r="A903" t="s">
        <v>20</v>
      </c>
      <c r="B903" t="s">
        <v>272</v>
      </c>
      <c r="C903" s="22">
        <v>46093</v>
      </c>
      <c r="D903" s="23">
        <v>33970</v>
      </c>
    </row>
    <row r="904" spans="1:4">
      <c r="A904" t="s">
        <v>20</v>
      </c>
      <c r="B904" t="s">
        <v>161</v>
      </c>
      <c r="C904" s="22">
        <v>46093</v>
      </c>
      <c r="D904" s="23">
        <v>28057</v>
      </c>
    </row>
    <row r="905" spans="1:4">
      <c r="A905" t="s">
        <v>20</v>
      </c>
      <c r="B905" t="s">
        <v>165</v>
      </c>
      <c r="C905" s="22">
        <v>46093</v>
      </c>
      <c r="D905" s="23">
        <v>43052</v>
      </c>
    </row>
    <row r="906" spans="1:4">
      <c r="A906" t="s">
        <v>18</v>
      </c>
      <c r="B906" t="s">
        <v>93</v>
      </c>
      <c r="C906" s="22">
        <v>46093</v>
      </c>
      <c r="D906" s="23">
        <v>42175</v>
      </c>
    </row>
    <row r="907" spans="1:4">
      <c r="A907" t="s">
        <v>18</v>
      </c>
      <c r="B907" t="s">
        <v>129</v>
      </c>
      <c r="C907" s="22">
        <v>46093</v>
      </c>
      <c r="D907" s="23">
        <v>44447</v>
      </c>
    </row>
    <row r="908" spans="1:4">
      <c r="A908" t="s">
        <v>18</v>
      </c>
      <c r="B908" t="s">
        <v>138</v>
      </c>
      <c r="C908" s="22">
        <v>46093</v>
      </c>
      <c r="D908" s="23">
        <v>34075</v>
      </c>
    </row>
    <row r="909" spans="1:4">
      <c r="A909" t="s">
        <v>28</v>
      </c>
      <c r="B909" t="s">
        <v>201</v>
      </c>
      <c r="C909" s="22">
        <v>46094</v>
      </c>
      <c r="D909" s="23">
        <v>15278</v>
      </c>
    </row>
    <row r="910" spans="1:4">
      <c r="A910" t="s">
        <v>28</v>
      </c>
      <c r="B910" t="s">
        <v>155</v>
      </c>
      <c r="C910" s="22">
        <v>46094</v>
      </c>
      <c r="D910" s="23">
        <v>17009</v>
      </c>
    </row>
    <row r="911" spans="1:4">
      <c r="A911" t="s">
        <v>21</v>
      </c>
      <c r="B911" t="s">
        <v>147</v>
      </c>
      <c r="C911" s="22">
        <v>46094</v>
      </c>
      <c r="D911" s="23">
        <v>11003</v>
      </c>
    </row>
    <row r="912" spans="1:4">
      <c r="A912" t="s">
        <v>21</v>
      </c>
      <c r="B912" t="s">
        <v>93</v>
      </c>
      <c r="C912" s="22">
        <v>46094</v>
      </c>
      <c r="D912" s="23">
        <v>36712</v>
      </c>
    </row>
    <row r="913" spans="1:4">
      <c r="A913" t="s">
        <v>21</v>
      </c>
      <c r="B913" t="s">
        <v>209</v>
      </c>
      <c r="C913" s="22">
        <v>46094</v>
      </c>
      <c r="D913" s="23">
        <v>37881</v>
      </c>
    </row>
    <row r="914" spans="1:4">
      <c r="A914" t="s">
        <v>21</v>
      </c>
      <c r="B914" t="s">
        <v>72</v>
      </c>
      <c r="C914" s="22">
        <v>46094</v>
      </c>
      <c r="D914" s="23">
        <v>44700</v>
      </c>
    </row>
    <row r="915" spans="1:4">
      <c r="A915" t="s">
        <v>26</v>
      </c>
      <c r="B915" t="s">
        <v>220</v>
      </c>
      <c r="C915" s="22">
        <v>46094</v>
      </c>
      <c r="D915" s="23">
        <v>17061</v>
      </c>
    </row>
    <row r="916" spans="1:4">
      <c r="A916" t="s">
        <v>27</v>
      </c>
      <c r="B916" t="s">
        <v>177</v>
      </c>
      <c r="C916" s="22">
        <v>46094</v>
      </c>
      <c r="D916" s="23">
        <v>5200</v>
      </c>
    </row>
    <row r="917" spans="1:4">
      <c r="A917" t="s">
        <v>25</v>
      </c>
      <c r="B917" t="s">
        <v>245</v>
      </c>
      <c r="C917" s="22">
        <v>46094</v>
      </c>
      <c r="D917" s="23">
        <v>16669</v>
      </c>
    </row>
    <row r="918" spans="1:4">
      <c r="A918" t="s">
        <v>34</v>
      </c>
      <c r="B918" t="s">
        <v>186</v>
      </c>
      <c r="C918" s="22">
        <v>46094</v>
      </c>
      <c r="D918" s="23">
        <v>14524</v>
      </c>
    </row>
    <row r="919" spans="1:4">
      <c r="A919" t="s">
        <v>29</v>
      </c>
      <c r="B919" t="s">
        <v>124</v>
      </c>
      <c r="C919" s="22">
        <v>46094</v>
      </c>
      <c r="D919" s="23">
        <v>23147</v>
      </c>
    </row>
    <row r="920" spans="1:4">
      <c r="A920" t="s">
        <v>20</v>
      </c>
      <c r="B920" t="s">
        <v>229</v>
      </c>
      <c r="C920" s="22">
        <v>46094</v>
      </c>
      <c r="D920" s="23">
        <v>32814</v>
      </c>
    </row>
    <row r="921" spans="1:4">
      <c r="A921" t="s">
        <v>18</v>
      </c>
      <c r="B921" t="s">
        <v>54</v>
      </c>
      <c r="C921" s="22">
        <v>46094</v>
      </c>
      <c r="D921" s="23">
        <v>35863</v>
      </c>
    </row>
    <row r="922" spans="1:4">
      <c r="A922" t="s">
        <v>18</v>
      </c>
      <c r="B922" t="s">
        <v>55</v>
      </c>
      <c r="C922" s="22">
        <v>46094</v>
      </c>
      <c r="D922" s="23">
        <v>37589</v>
      </c>
    </row>
    <row r="923" spans="1:4">
      <c r="A923" t="s">
        <v>18</v>
      </c>
      <c r="B923" t="s">
        <v>93</v>
      </c>
      <c r="C923" s="22">
        <v>46094</v>
      </c>
      <c r="D923" s="23">
        <v>48670</v>
      </c>
    </row>
    <row r="924" spans="1:4">
      <c r="A924" t="s">
        <v>18</v>
      </c>
      <c r="B924" t="s">
        <v>69</v>
      </c>
      <c r="C924" s="22">
        <v>46094</v>
      </c>
      <c r="D924" s="23">
        <v>37957</v>
      </c>
    </row>
    <row r="925" spans="1:4">
      <c r="A925" t="s">
        <v>18</v>
      </c>
      <c r="B925" t="s">
        <v>162</v>
      </c>
      <c r="C925" s="22">
        <v>46094</v>
      </c>
      <c r="D925" s="23">
        <v>48784</v>
      </c>
    </row>
    <row r="926" spans="1:4">
      <c r="A926" t="s">
        <v>18</v>
      </c>
      <c r="B926" t="s">
        <v>159</v>
      </c>
      <c r="C926" s="22">
        <v>46094</v>
      </c>
      <c r="D926" s="23">
        <v>45836</v>
      </c>
    </row>
    <row r="927" spans="1:4">
      <c r="A927" t="s">
        <v>18</v>
      </c>
      <c r="B927" t="s">
        <v>71</v>
      </c>
      <c r="C927" s="22">
        <v>46094</v>
      </c>
      <c r="D927" s="23">
        <v>35127</v>
      </c>
    </row>
    <row r="928" spans="1:4">
      <c r="A928" t="s">
        <v>21</v>
      </c>
      <c r="B928" t="s">
        <v>253</v>
      </c>
      <c r="C928" s="22">
        <v>46095</v>
      </c>
      <c r="D928" s="23">
        <v>36605</v>
      </c>
    </row>
    <row r="929" spans="1:4">
      <c r="A929" t="s">
        <v>33</v>
      </c>
      <c r="B929" t="s">
        <v>242</v>
      </c>
      <c r="C929" s="22">
        <v>46095</v>
      </c>
      <c r="D929" s="23">
        <v>11154</v>
      </c>
    </row>
    <row r="930" spans="1:4">
      <c r="A930" t="s">
        <v>26</v>
      </c>
      <c r="B930" t="s">
        <v>278</v>
      </c>
      <c r="C930" s="22">
        <v>46095</v>
      </c>
      <c r="D930" s="23">
        <v>18938</v>
      </c>
    </row>
    <row r="931" spans="1:4">
      <c r="A931" t="s">
        <v>31</v>
      </c>
      <c r="B931" t="s">
        <v>273</v>
      </c>
      <c r="C931" s="22">
        <v>46095</v>
      </c>
      <c r="D931" s="23">
        <v>5200</v>
      </c>
    </row>
    <row r="932" spans="1:4">
      <c r="A932" t="s">
        <v>34</v>
      </c>
      <c r="B932" t="s">
        <v>261</v>
      </c>
      <c r="C932" s="22">
        <v>46095</v>
      </c>
      <c r="D932" s="23">
        <v>27914</v>
      </c>
    </row>
    <row r="933" spans="1:4">
      <c r="A933" t="s">
        <v>23</v>
      </c>
      <c r="B933" t="s">
        <v>114</v>
      </c>
      <c r="C933" s="22">
        <v>46095</v>
      </c>
      <c r="D933" s="23">
        <v>22345</v>
      </c>
    </row>
    <row r="934" spans="1:4">
      <c r="A934" t="s">
        <v>20</v>
      </c>
      <c r="B934" t="s">
        <v>115</v>
      </c>
      <c r="C934" s="22">
        <v>46095</v>
      </c>
      <c r="D934" s="23">
        <v>29662</v>
      </c>
    </row>
    <row r="935" spans="1:4">
      <c r="A935" t="s">
        <v>20</v>
      </c>
      <c r="B935" t="s">
        <v>250</v>
      </c>
      <c r="C935" s="22">
        <v>46095</v>
      </c>
      <c r="D935" s="23">
        <v>24039</v>
      </c>
    </row>
    <row r="936" spans="1:4">
      <c r="A936" t="s">
        <v>20</v>
      </c>
      <c r="B936" t="s">
        <v>82</v>
      </c>
      <c r="C936" s="22">
        <v>46095</v>
      </c>
      <c r="D936" s="23">
        <v>35026</v>
      </c>
    </row>
    <row r="937" spans="1:4">
      <c r="A937" t="s">
        <v>18</v>
      </c>
      <c r="B937" t="s">
        <v>66</v>
      </c>
      <c r="C937" s="22">
        <v>46095</v>
      </c>
      <c r="D937" s="23">
        <v>29001</v>
      </c>
    </row>
    <row r="938" spans="1:4">
      <c r="A938" t="s">
        <v>18</v>
      </c>
      <c r="B938" t="s">
        <v>106</v>
      </c>
      <c r="C938" s="22">
        <v>46095</v>
      </c>
      <c r="D938" s="23">
        <v>34954</v>
      </c>
    </row>
    <row r="939" spans="1:4">
      <c r="A939" t="s">
        <v>18</v>
      </c>
      <c r="B939" t="s">
        <v>67</v>
      </c>
      <c r="C939" s="22">
        <v>46095</v>
      </c>
      <c r="D939" s="23">
        <v>36919</v>
      </c>
    </row>
    <row r="940" spans="1:4">
      <c r="A940" t="s">
        <v>18</v>
      </c>
      <c r="B940" t="s">
        <v>96</v>
      </c>
      <c r="C940" s="22">
        <v>46095</v>
      </c>
      <c r="D940" s="23">
        <v>41041</v>
      </c>
    </row>
    <row r="941" spans="1:4">
      <c r="A941" t="s">
        <v>18</v>
      </c>
      <c r="B941" t="s">
        <v>129</v>
      </c>
      <c r="C941" s="22">
        <v>46095</v>
      </c>
      <c r="D941" s="23">
        <v>49607</v>
      </c>
    </row>
    <row r="942" spans="1:4">
      <c r="A942" t="s">
        <v>25</v>
      </c>
      <c r="B942" t="s">
        <v>211</v>
      </c>
      <c r="C942" s="22">
        <v>46096</v>
      </c>
      <c r="D942" s="23">
        <v>18338</v>
      </c>
    </row>
    <row r="943" spans="1:4">
      <c r="A943" t="s">
        <v>25</v>
      </c>
      <c r="B943" t="s">
        <v>228</v>
      </c>
      <c r="C943" s="22">
        <v>46096</v>
      </c>
      <c r="D943" s="23">
        <v>21589</v>
      </c>
    </row>
    <row r="944" spans="1:4">
      <c r="A944" t="s">
        <v>29</v>
      </c>
      <c r="B944" t="s">
        <v>227</v>
      </c>
      <c r="C944" s="22">
        <v>46096</v>
      </c>
      <c r="D944" s="23">
        <v>11990</v>
      </c>
    </row>
    <row r="945" spans="1:4">
      <c r="A945" t="s">
        <v>20</v>
      </c>
      <c r="B945" t="s">
        <v>169</v>
      </c>
      <c r="C945" s="22">
        <v>46096</v>
      </c>
      <c r="D945" s="23">
        <v>32909</v>
      </c>
    </row>
    <row r="946" spans="1:4">
      <c r="A946" t="s">
        <v>20</v>
      </c>
      <c r="B946" t="s">
        <v>90</v>
      </c>
      <c r="C946" s="22">
        <v>46096</v>
      </c>
      <c r="D946" s="23">
        <v>24945</v>
      </c>
    </row>
    <row r="947" spans="1:4">
      <c r="A947" t="s">
        <v>20</v>
      </c>
      <c r="B947" t="s">
        <v>104</v>
      </c>
      <c r="C947" s="22">
        <v>46096</v>
      </c>
      <c r="D947" s="23">
        <v>34732</v>
      </c>
    </row>
    <row r="948" spans="1:4">
      <c r="A948" t="s">
        <v>18</v>
      </c>
      <c r="B948" t="s">
        <v>240</v>
      </c>
      <c r="C948" s="22">
        <v>46096</v>
      </c>
      <c r="D948" s="23">
        <v>10574</v>
      </c>
    </row>
    <row r="949" spans="1:4">
      <c r="A949" t="s">
        <v>18</v>
      </c>
      <c r="B949" t="s">
        <v>64</v>
      </c>
      <c r="C949" s="22">
        <v>46096</v>
      </c>
      <c r="D949" s="23">
        <v>49340</v>
      </c>
    </row>
    <row r="950" spans="1:4">
      <c r="A950" t="s">
        <v>18</v>
      </c>
      <c r="B950" t="s">
        <v>59</v>
      </c>
      <c r="C950" s="22">
        <v>46096</v>
      </c>
      <c r="D950" s="23">
        <v>44671</v>
      </c>
    </row>
    <row r="951" spans="1:4">
      <c r="A951" t="s">
        <v>18</v>
      </c>
      <c r="B951" t="s">
        <v>95</v>
      </c>
      <c r="C951" s="22">
        <v>46096</v>
      </c>
      <c r="D951" s="23">
        <v>55838</v>
      </c>
    </row>
    <row r="952" spans="1:4">
      <c r="A952" t="s">
        <v>22</v>
      </c>
      <c r="B952" t="s">
        <v>80</v>
      </c>
      <c r="C952" s="22">
        <v>46097</v>
      </c>
      <c r="D952" s="23">
        <v>27447</v>
      </c>
    </row>
    <row r="953" spans="1:4">
      <c r="A953" t="s">
        <v>22</v>
      </c>
      <c r="B953" t="s">
        <v>153</v>
      </c>
      <c r="C953" s="22">
        <v>46097</v>
      </c>
      <c r="D953" s="23">
        <v>27458</v>
      </c>
    </row>
    <row r="954" spans="1:4">
      <c r="A954" t="s">
        <v>20</v>
      </c>
      <c r="B954" t="s">
        <v>206</v>
      </c>
      <c r="C954" s="22">
        <v>46097</v>
      </c>
      <c r="D954" s="23">
        <v>26792</v>
      </c>
    </row>
    <row r="955" spans="1:4">
      <c r="A955" t="s">
        <v>18</v>
      </c>
      <c r="B955" t="s">
        <v>105</v>
      </c>
      <c r="C955" s="22">
        <v>46097</v>
      </c>
      <c r="D955" s="23">
        <v>35225</v>
      </c>
    </row>
    <row r="956" spans="1:4">
      <c r="A956" t="s">
        <v>18</v>
      </c>
      <c r="B956" t="s">
        <v>55</v>
      </c>
      <c r="C956" s="22">
        <v>46097</v>
      </c>
      <c r="D956" s="23">
        <v>34141</v>
      </c>
    </row>
    <row r="957" spans="1:4">
      <c r="A957" t="s">
        <v>18</v>
      </c>
      <c r="B957" t="s">
        <v>171</v>
      </c>
      <c r="C957" s="22">
        <v>46097</v>
      </c>
      <c r="D957" s="23">
        <v>42834</v>
      </c>
    </row>
    <row r="958" spans="1:4">
      <c r="A958" t="s">
        <v>18</v>
      </c>
      <c r="B958" t="s">
        <v>57</v>
      </c>
      <c r="C958" s="22">
        <v>46097</v>
      </c>
      <c r="D958" s="23">
        <v>36124</v>
      </c>
    </row>
    <row r="959" spans="1:4">
      <c r="A959" t="s">
        <v>21</v>
      </c>
      <c r="B959" t="s">
        <v>172</v>
      </c>
      <c r="C959" s="22">
        <v>46098</v>
      </c>
      <c r="D959" s="23">
        <v>29015</v>
      </c>
    </row>
    <row r="960" spans="1:4">
      <c r="A960" t="s">
        <v>27</v>
      </c>
      <c r="B960" t="s">
        <v>247</v>
      </c>
      <c r="C960" s="22">
        <v>46098</v>
      </c>
      <c r="D960" s="23">
        <v>15556</v>
      </c>
    </row>
    <row r="961" spans="1:4">
      <c r="A961" t="s">
        <v>23</v>
      </c>
      <c r="B961" t="s">
        <v>77</v>
      </c>
      <c r="C961" s="22">
        <v>46098</v>
      </c>
      <c r="D961" s="23">
        <v>21758</v>
      </c>
    </row>
    <row r="962" spans="1:4">
      <c r="A962" t="s">
        <v>23</v>
      </c>
      <c r="B962" t="s">
        <v>187</v>
      </c>
      <c r="C962" s="22">
        <v>46098</v>
      </c>
      <c r="D962" s="23">
        <v>23188</v>
      </c>
    </row>
    <row r="963" spans="1:4">
      <c r="A963" t="s">
        <v>20</v>
      </c>
      <c r="B963" t="s">
        <v>92</v>
      </c>
      <c r="C963" s="22">
        <v>46098</v>
      </c>
      <c r="D963" s="23">
        <v>60915</v>
      </c>
    </row>
    <row r="964" spans="1:4">
      <c r="A964" t="s">
        <v>20</v>
      </c>
      <c r="B964" t="s">
        <v>239</v>
      </c>
      <c r="C964" s="22">
        <v>46098</v>
      </c>
      <c r="D964" s="23">
        <v>45188</v>
      </c>
    </row>
    <row r="965" spans="1:4">
      <c r="A965" t="s">
        <v>20</v>
      </c>
      <c r="B965" t="s">
        <v>89</v>
      </c>
      <c r="C965" s="22">
        <v>46098</v>
      </c>
      <c r="D965" s="23">
        <v>26775</v>
      </c>
    </row>
    <row r="966" spans="1:4">
      <c r="A966" t="s">
        <v>20</v>
      </c>
      <c r="B966" t="s">
        <v>83</v>
      </c>
      <c r="C966" s="22">
        <v>46098</v>
      </c>
      <c r="D966" s="23">
        <v>36356</v>
      </c>
    </row>
    <row r="967" spans="1:4">
      <c r="A967" t="s">
        <v>18</v>
      </c>
      <c r="B967" t="s">
        <v>54</v>
      </c>
      <c r="C967" s="22">
        <v>46098</v>
      </c>
      <c r="D967" s="23">
        <v>36269</v>
      </c>
    </row>
    <row r="968" spans="1:4">
      <c r="A968" t="s">
        <v>18</v>
      </c>
      <c r="B968" t="s">
        <v>86</v>
      </c>
      <c r="C968" s="22">
        <v>46098</v>
      </c>
      <c r="D968" s="23">
        <v>39139</v>
      </c>
    </row>
    <row r="969" spans="1:4">
      <c r="A969" t="s">
        <v>18</v>
      </c>
      <c r="B969" t="s">
        <v>107</v>
      </c>
      <c r="C969" s="22">
        <v>46098</v>
      </c>
      <c r="D969" s="23">
        <v>40043</v>
      </c>
    </row>
    <row r="970" spans="1:4">
      <c r="A970" t="s">
        <v>18</v>
      </c>
      <c r="B970" t="s">
        <v>108</v>
      </c>
      <c r="C970" s="22">
        <v>46098</v>
      </c>
      <c r="D970" s="23">
        <v>35034</v>
      </c>
    </row>
    <row r="971" spans="1:4">
      <c r="A971" t="s">
        <v>21</v>
      </c>
      <c r="B971" t="s">
        <v>277</v>
      </c>
      <c r="C971" s="22">
        <v>46099</v>
      </c>
      <c r="D971" s="23">
        <v>29694</v>
      </c>
    </row>
    <row r="972" spans="1:4">
      <c r="A972" t="s">
        <v>20</v>
      </c>
      <c r="B972" t="s">
        <v>103</v>
      </c>
      <c r="C972" s="22">
        <v>46099</v>
      </c>
      <c r="D972" s="23">
        <v>32830</v>
      </c>
    </row>
    <row r="973" spans="1:4">
      <c r="A973" t="s">
        <v>18</v>
      </c>
      <c r="B973" t="s">
        <v>66</v>
      </c>
      <c r="C973" s="22">
        <v>46099</v>
      </c>
      <c r="D973" s="23">
        <v>31522</v>
      </c>
    </row>
    <row r="974" spans="1:4">
      <c r="A974" t="s">
        <v>18</v>
      </c>
      <c r="B974" t="s">
        <v>94</v>
      </c>
      <c r="C974" s="22">
        <v>46099</v>
      </c>
      <c r="D974" s="23">
        <v>52536</v>
      </c>
    </row>
    <row r="975" spans="1:4">
      <c r="A975" t="s">
        <v>18</v>
      </c>
      <c r="B975" t="s">
        <v>86</v>
      </c>
      <c r="C975" s="22">
        <v>46099</v>
      </c>
      <c r="D975" s="23">
        <v>41130</v>
      </c>
    </row>
    <row r="976" spans="1:4">
      <c r="A976" t="s">
        <v>18</v>
      </c>
      <c r="B976" t="s">
        <v>138</v>
      </c>
      <c r="C976" s="22">
        <v>46099</v>
      </c>
      <c r="D976" s="23">
        <v>41035</v>
      </c>
    </row>
    <row r="977" spans="1:4">
      <c r="A977" t="s">
        <v>21</v>
      </c>
      <c r="B977" t="s">
        <v>259</v>
      </c>
      <c r="C977" s="22">
        <v>46100</v>
      </c>
      <c r="D977" s="23">
        <v>39024</v>
      </c>
    </row>
    <row r="978" spans="1:4">
      <c r="A978" t="s">
        <v>21</v>
      </c>
      <c r="B978" t="s">
        <v>174</v>
      </c>
      <c r="C978" s="22">
        <v>46100</v>
      </c>
      <c r="D978" s="23">
        <v>29719</v>
      </c>
    </row>
    <row r="979" spans="1:4">
      <c r="A979" t="s">
        <v>26</v>
      </c>
      <c r="B979" t="s">
        <v>150</v>
      </c>
      <c r="C979" s="22">
        <v>46100</v>
      </c>
      <c r="D979" s="23">
        <v>12971</v>
      </c>
    </row>
    <row r="980" spans="1:4">
      <c r="A980" t="s">
        <v>31</v>
      </c>
      <c r="B980" t="s">
        <v>111</v>
      </c>
      <c r="C980" s="22">
        <v>46100</v>
      </c>
      <c r="D980" s="23">
        <v>11507</v>
      </c>
    </row>
    <row r="981" spans="1:4">
      <c r="A981" t="s">
        <v>25</v>
      </c>
      <c r="B981" t="s">
        <v>180</v>
      </c>
      <c r="C981" s="22">
        <v>46100</v>
      </c>
      <c r="D981" s="23">
        <v>13578</v>
      </c>
    </row>
    <row r="982" spans="1:4">
      <c r="A982" t="s">
        <v>23</v>
      </c>
      <c r="B982" t="s">
        <v>62</v>
      </c>
      <c r="C982" s="22">
        <v>46100</v>
      </c>
      <c r="D982" s="23">
        <v>24227</v>
      </c>
    </row>
    <row r="983" spans="1:4">
      <c r="A983" t="s">
        <v>23</v>
      </c>
      <c r="B983" t="s">
        <v>62</v>
      </c>
      <c r="C983" s="22">
        <v>46100</v>
      </c>
      <c r="D983" s="23">
        <v>23497</v>
      </c>
    </row>
    <row r="984" spans="1:4">
      <c r="A984" t="s">
        <v>23</v>
      </c>
      <c r="B984" t="s">
        <v>204</v>
      </c>
      <c r="C984" s="22">
        <v>46100</v>
      </c>
      <c r="D984" s="23">
        <v>15773</v>
      </c>
    </row>
    <row r="985" spans="1:4">
      <c r="A985" t="s">
        <v>22</v>
      </c>
      <c r="B985" t="s">
        <v>183</v>
      </c>
      <c r="C985" s="22">
        <v>46100</v>
      </c>
      <c r="D985" s="23">
        <v>8424</v>
      </c>
    </row>
    <row r="986" spans="1:4">
      <c r="A986" t="s">
        <v>20</v>
      </c>
      <c r="B986" t="s">
        <v>158</v>
      </c>
      <c r="C986" s="22">
        <v>46100</v>
      </c>
      <c r="D986" s="23">
        <v>41237</v>
      </c>
    </row>
    <row r="987" spans="1:4">
      <c r="A987" t="s">
        <v>20</v>
      </c>
      <c r="B987" t="s">
        <v>127</v>
      </c>
      <c r="C987" s="22">
        <v>46100</v>
      </c>
      <c r="D987" s="23">
        <v>34139</v>
      </c>
    </row>
    <row r="988" spans="1:4">
      <c r="A988" t="s">
        <v>20</v>
      </c>
      <c r="B988" t="s">
        <v>116</v>
      </c>
      <c r="C988" s="22">
        <v>46100</v>
      </c>
      <c r="D988" s="23">
        <v>33997</v>
      </c>
    </row>
    <row r="989" spans="1:4">
      <c r="A989" t="s">
        <v>18</v>
      </c>
      <c r="B989" t="s">
        <v>55</v>
      </c>
      <c r="C989" s="22">
        <v>46100</v>
      </c>
      <c r="D989" s="23">
        <v>44158</v>
      </c>
    </row>
    <row r="990" spans="1:4">
      <c r="A990" t="s">
        <v>18</v>
      </c>
      <c r="B990" t="s">
        <v>96</v>
      </c>
      <c r="C990" s="22">
        <v>46100</v>
      </c>
      <c r="D990" s="23">
        <v>37508</v>
      </c>
    </row>
    <row r="991" spans="1:4">
      <c r="A991" t="s">
        <v>18</v>
      </c>
      <c r="B991" t="s">
        <v>118</v>
      </c>
      <c r="C991" s="22">
        <v>46100</v>
      </c>
      <c r="D991" s="23">
        <v>47649</v>
      </c>
    </row>
    <row r="992" spans="1:4">
      <c r="A992" t="s">
        <v>18</v>
      </c>
      <c r="B992" t="s">
        <v>173</v>
      </c>
      <c r="C992" s="22">
        <v>46100</v>
      </c>
      <c r="D992" s="23">
        <v>37840</v>
      </c>
    </row>
    <row r="993" spans="1:4">
      <c r="A993" t="s">
        <v>18</v>
      </c>
      <c r="B993" t="s">
        <v>159</v>
      </c>
      <c r="C993" s="22">
        <v>46100</v>
      </c>
      <c r="D993" s="23">
        <v>36211</v>
      </c>
    </row>
    <row r="994" spans="1:4">
      <c r="A994" t="s">
        <v>34</v>
      </c>
      <c r="B994" t="s">
        <v>281</v>
      </c>
      <c r="C994" s="22">
        <v>46101</v>
      </c>
      <c r="D994" s="23">
        <v>5200</v>
      </c>
    </row>
    <row r="995" spans="1:4">
      <c r="A995" t="s">
        <v>22</v>
      </c>
      <c r="B995" t="s">
        <v>135</v>
      </c>
      <c r="C995" s="22">
        <v>46101</v>
      </c>
      <c r="D995" s="23">
        <v>30402</v>
      </c>
    </row>
    <row r="996" spans="1:4">
      <c r="A996" t="s">
        <v>20</v>
      </c>
      <c r="B996" t="s">
        <v>168</v>
      </c>
      <c r="C996" s="22">
        <v>46101</v>
      </c>
      <c r="D996" s="23">
        <v>25650</v>
      </c>
    </row>
    <row r="997" spans="1:4">
      <c r="A997" t="s">
        <v>20</v>
      </c>
      <c r="B997" t="s">
        <v>229</v>
      </c>
      <c r="C997" s="22">
        <v>46101</v>
      </c>
      <c r="D997" s="23">
        <v>27887</v>
      </c>
    </row>
    <row r="998" spans="1:4">
      <c r="A998" t="s">
        <v>20</v>
      </c>
      <c r="B998" t="s">
        <v>161</v>
      </c>
      <c r="C998" s="22">
        <v>46101</v>
      </c>
      <c r="D998" s="23">
        <v>22114</v>
      </c>
    </row>
    <row r="999" spans="1:4">
      <c r="A999" t="s">
        <v>20</v>
      </c>
      <c r="B999" t="s">
        <v>230</v>
      </c>
      <c r="C999" s="22">
        <v>46101</v>
      </c>
      <c r="D999" s="23">
        <v>34656</v>
      </c>
    </row>
    <row r="1000" spans="1:4">
      <c r="A1000" t="s">
        <v>18</v>
      </c>
      <c r="B1000" t="s">
        <v>260</v>
      </c>
      <c r="C1000" s="22">
        <v>46101</v>
      </c>
      <c r="D1000" s="23">
        <v>40970</v>
      </c>
    </row>
    <row r="1001" spans="1:4">
      <c r="A1001" t="s">
        <v>18</v>
      </c>
      <c r="B1001" t="s">
        <v>94</v>
      </c>
      <c r="C1001" s="22">
        <v>46101</v>
      </c>
      <c r="D1001" s="23">
        <v>53720</v>
      </c>
    </row>
    <row r="1002" spans="1:4">
      <c r="A1002" t="s">
        <v>18</v>
      </c>
      <c r="B1002" t="s">
        <v>58</v>
      </c>
      <c r="C1002" s="22">
        <v>46101</v>
      </c>
      <c r="D1002" s="23">
        <v>25579</v>
      </c>
    </row>
    <row r="1003" spans="1:4">
      <c r="A1003" t="s">
        <v>18</v>
      </c>
      <c r="B1003" t="s">
        <v>128</v>
      </c>
      <c r="C1003" s="22">
        <v>46101</v>
      </c>
      <c r="D1003" s="23">
        <v>42129</v>
      </c>
    </row>
    <row r="1004" spans="1:4">
      <c r="A1004" t="s">
        <v>18</v>
      </c>
      <c r="B1004" t="s">
        <v>224</v>
      </c>
      <c r="C1004" s="22">
        <v>46101</v>
      </c>
      <c r="D1004" s="23">
        <v>27169</v>
      </c>
    </row>
    <row r="1005" spans="1:4">
      <c r="A1005" t="s">
        <v>18</v>
      </c>
      <c r="B1005" t="s">
        <v>108</v>
      </c>
      <c r="C1005" s="22">
        <v>46101</v>
      </c>
      <c r="D1005" s="23">
        <v>37069</v>
      </c>
    </row>
    <row r="1006" spans="1:4">
      <c r="A1006" t="s">
        <v>21</v>
      </c>
      <c r="B1006" t="s">
        <v>130</v>
      </c>
      <c r="C1006" s="22">
        <v>46102</v>
      </c>
      <c r="D1006" s="23">
        <v>32803</v>
      </c>
    </row>
    <row r="1007" spans="1:4">
      <c r="A1007" t="s">
        <v>21</v>
      </c>
      <c r="B1007" t="s">
        <v>130</v>
      </c>
      <c r="C1007" s="22">
        <v>46102</v>
      </c>
      <c r="D1007" s="23">
        <v>33035</v>
      </c>
    </row>
    <row r="1008" spans="1:4">
      <c r="A1008" t="s">
        <v>21</v>
      </c>
      <c r="B1008" t="s">
        <v>131</v>
      </c>
      <c r="C1008" s="22">
        <v>46102</v>
      </c>
      <c r="D1008" s="23">
        <v>44611</v>
      </c>
    </row>
    <row r="1009" spans="1:4">
      <c r="A1009" t="s">
        <v>26</v>
      </c>
      <c r="B1009" t="s">
        <v>99</v>
      </c>
      <c r="C1009" s="22">
        <v>46102</v>
      </c>
      <c r="D1009" s="23">
        <v>5200</v>
      </c>
    </row>
    <row r="1010" spans="1:4">
      <c r="A1010" t="s">
        <v>31</v>
      </c>
      <c r="B1010" t="s">
        <v>151</v>
      </c>
      <c r="C1010" s="22">
        <v>46102</v>
      </c>
      <c r="D1010" s="23">
        <v>15828</v>
      </c>
    </row>
    <row r="1011" spans="1:4">
      <c r="A1011" t="s">
        <v>27</v>
      </c>
      <c r="B1011" t="s">
        <v>100</v>
      </c>
      <c r="C1011" s="22">
        <v>46102</v>
      </c>
      <c r="D1011" s="23">
        <v>13776</v>
      </c>
    </row>
    <row r="1012" spans="1:4">
      <c r="A1012" t="s">
        <v>25</v>
      </c>
      <c r="B1012" t="s">
        <v>76</v>
      </c>
      <c r="C1012" s="22">
        <v>46102</v>
      </c>
      <c r="D1012" s="23">
        <v>25186</v>
      </c>
    </row>
    <row r="1013" spans="1:4">
      <c r="A1013" t="s">
        <v>23</v>
      </c>
      <c r="B1013" t="s">
        <v>182</v>
      </c>
      <c r="C1013" s="22">
        <v>46102</v>
      </c>
      <c r="D1013" s="23">
        <v>25138</v>
      </c>
    </row>
    <row r="1014" spans="1:4">
      <c r="A1014" t="s">
        <v>23</v>
      </c>
      <c r="B1014" t="s">
        <v>264</v>
      </c>
      <c r="C1014" s="22">
        <v>46102</v>
      </c>
      <c r="D1014" s="23">
        <v>24921</v>
      </c>
    </row>
    <row r="1015" spans="1:4">
      <c r="A1015" t="s">
        <v>18</v>
      </c>
      <c r="B1015" t="s">
        <v>95</v>
      </c>
      <c r="C1015" s="22">
        <v>46102</v>
      </c>
      <c r="D1015" s="23">
        <v>52999</v>
      </c>
    </row>
    <row r="1016" spans="1:4">
      <c r="A1016" t="s">
        <v>18</v>
      </c>
      <c r="B1016" t="s">
        <v>68</v>
      </c>
      <c r="C1016" s="22">
        <v>46102</v>
      </c>
      <c r="D1016" s="23">
        <v>35057</v>
      </c>
    </row>
    <row r="1017" spans="1:4">
      <c r="A1017" t="s">
        <v>18</v>
      </c>
      <c r="B1017" t="s">
        <v>53</v>
      </c>
      <c r="C1017" s="22">
        <v>46102</v>
      </c>
      <c r="D1017" s="23">
        <v>39437</v>
      </c>
    </row>
    <row r="1018" spans="1:4">
      <c r="A1018" t="s">
        <v>28</v>
      </c>
      <c r="B1018" t="s">
        <v>202</v>
      </c>
      <c r="C1018" s="22">
        <v>46103</v>
      </c>
      <c r="D1018" s="23">
        <v>12189</v>
      </c>
    </row>
    <row r="1019" spans="1:4">
      <c r="A1019" t="s">
        <v>40</v>
      </c>
      <c r="B1019" t="s">
        <v>88</v>
      </c>
      <c r="C1019" s="22">
        <v>46103</v>
      </c>
      <c r="D1019" s="23">
        <v>23861</v>
      </c>
    </row>
    <row r="1020" spans="1:4">
      <c r="A1020" t="s">
        <v>25</v>
      </c>
      <c r="B1020" t="s">
        <v>274</v>
      </c>
      <c r="C1020" s="22">
        <v>46103</v>
      </c>
      <c r="D1020" s="23">
        <v>18762</v>
      </c>
    </row>
    <row r="1021" spans="1:4">
      <c r="A1021" t="s">
        <v>36</v>
      </c>
      <c r="B1021" t="s">
        <v>121</v>
      </c>
      <c r="C1021" s="22">
        <v>46103</v>
      </c>
      <c r="D1021" s="23">
        <v>13721</v>
      </c>
    </row>
    <row r="1022" spans="1:4">
      <c r="A1022" t="s">
        <v>22</v>
      </c>
      <c r="B1022" t="s">
        <v>231</v>
      </c>
      <c r="C1022" s="22">
        <v>46103</v>
      </c>
      <c r="D1022" s="23">
        <v>24496</v>
      </c>
    </row>
    <row r="1023" spans="1:4">
      <c r="A1023" t="s">
        <v>18</v>
      </c>
      <c r="B1023" t="s">
        <v>55</v>
      </c>
      <c r="C1023" s="22">
        <v>46103</v>
      </c>
      <c r="D1023" s="23">
        <v>51170</v>
      </c>
    </row>
    <row r="1024" spans="1:4">
      <c r="A1024" t="s">
        <v>18</v>
      </c>
      <c r="B1024" t="s">
        <v>56</v>
      </c>
      <c r="C1024" s="22">
        <v>46103</v>
      </c>
      <c r="D1024" s="23">
        <v>40846</v>
      </c>
    </row>
    <row r="1025" spans="1:4">
      <c r="A1025" t="s">
        <v>18</v>
      </c>
      <c r="B1025" t="s">
        <v>162</v>
      </c>
      <c r="C1025" s="22">
        <v>46103</v>
      </c>
      <c r="D1025" s="23">
        <v>34050</v>
      </c>
    </row>
    <row r="1026" spans="1:4">
      <c r="A1026" t="s">
        <v>18</v>
      </c>
      <c r="B1026" t="s">
        <v>86</v>
      </c>
      <c r="C1026" s="22">
        <v>46103</v>
      </c>
      <c r="D1026" s="23">
        <v>38673</v>
      </c>
    </row>
    <row r="1027" spans="1:4">
      <c r="A1027" t="s">
        <v>18</v>
      </c>
      <c r="B1027" t="s">
        <v>128</v>
      </c>
      <c r="C1027" s="22">
        <v>46103</v>
      </c>
      <c r="D1027" s="23">
        <v>43504</v>
      </c>
    </row>
    <row r="1028" spans="1:4">
      <c r="A1028" t="s">
        <v>18</v>
      </c>
      <c r="B1028" t="s">
        <v>128</v>
      </c>
      <c r="C1028" s="22">
        <v>46103</v>
      </c>
      <c r="D1028" s="23">
        <v>45318</v>
      </c>
    </row>
    <row r="1029" spans="1:4">
      <c r="A1029" t="s">
        <v>28</v>
      </c>
      <c r="B1029" t="s">
        <v>217</v>
      </c>
      <c r="C1029" s="22">
        <v>46104</v>
      </c>
      <c r="D1029" s="23">
        <v>16557</v>
      </c>
    </row>
    <row r="1030" spans="1:4">
      <c r="A1030" t="s">
        <v>21</v>
      </c>
      <c r="B1030" t="s">
        <v>98</v>
      </c>
      <c r="C1030" s="22">
        <v>46104</v>
      </c>
      <c r="D1030" s="23">
        <v>37009</v>
      </c>
    </row>
    <row r="1031" spans="1:4">
      <c r="A1031" t="s">
        <v>27</v>
      </c>
      <c r="B1031" t="s">
        <v>152</v>
      </c>
      <c r="C1031" s="22">
        <v>46104</v>
      </c>
      <c r="D1031" s="23">
        <v>14035</v>
      </c>
    </row>
    <row r="1032" spans="1:4">
      <c r="A1032" t="s">
        <v>25</v>
      </c>
      <c r="B1032" t="s">
        <v>181</v>
      </c>
      <c r="C1032" s="22">
        <v>46104</v>
      </c>
      <c r="D1032" s="23">
        <v>19451</v>
      </c>
    </row>
    <row r="1033" spans="1:4">
      <c r="A1033" t="s">
        <v>29</v>
      </c>
      <c r="B1033" t="s">
        <v>79</v>
      </c>
      <c r="C1033" s="22">
        <v>46104</v>
      </c>
      <c r="D1033" s="23">
        <v>16438</v>
      </c>
    </row>
    <row r="1034" spans="1:4">
      <c r="A1034" t="s">
        <v>20</v>
      </c>
      <c r="B1034" t="s">
        <v>161</v>
      </c>
      <c r="C1034" s="22">
        <v>46104</v>
      </c>
      <c r="D1034" s="23">
        <v>28195</v>
      </c>
    </row>
    <row r="1035" spans="1:4">
      <c r="A1035" t="s">
        <v>18</v>
      </c>
      <c r="B1035" t="s">
        <v>190</v>
      </c>
      <c r="C1035" s="22">
        <v>46104</v>
      </c>
      <c r="D1035" s="23">
        <v>44669</v>
      </c>
    </row>
    <row r="1036" spans="1:4">
      <c r="A1036" t="s">
        <v>18</v>
      </c>
      <c r="B1036" t="s">
        <v>56</v>
      </c>
      <c r="C1036" s="22">
        <v>46104</v>
      </c>
      <c r="D1036" s="23">
        <v>30126</v>
      </c>
    </row>
    <row r="1037" spans="1:4">
      <c r="A1037" t="s">
        <v>18</v>
      </c>
      <c r="B1037" t="s">
        <v>139</v>
      </c>
      <c r="C1037" s="22">
        <v>46104</v>
      </c>
      <c r="D1037" s="23">
        <v>31944</v>
      </c>
    </row>
    <row r="1038" spans="1:4">
      <c r="A1038" t="s">
        <v>18</v>
      </c>
      <c r="B1038" t="s">
        <v>159</v>
      </c>
      <c r="C1038" s="22">
        <v>46104</v>
      </c>
      <c r="D1038" s="23">
        <v>44280</v>
      </c>
    </row>
    <row r="1039" spans="1:4">
      <c r="A1039" t="s">
        <v>18</v>
      </c>
      <c r="B1039" t="s">
        <v>71</v>
      </c>
      <c r="C1039" s="22">
        <v>46104</v>
      </c>
      <c r="D1039" s="23">
        <v>37046</v>
      </c>
    </row>
    <row r="1040" spans="1:4">
      <c r="A1040" t="s">
        <v>27</v>
      </c>
      <c r="B1040" t="s">
        <v>109</v>
      </c>
      <c r="C1040" s="22">
        <v>46105</v>
      </c>
      <c r="D1040" s="23">
        <v>17325</v>
      </c>
    </row>
    <row r="1041" spans="1:4">
      <c r="A1041" t="s">
        <v>25</v>
      </c>
      <c r="B1041" t="s">
        <v>112</v>
      </c>
      <c r="C1041" s="22">
        <v>46105</v>
      </c>
      <c r="D1041" s="23">
        <v>8067</v>
      </c>
    </row>
    <row r="1042" spans="1:4">
      <c r="A1042" t="s">
        <v>23</v>
      </c>
      <c r="B1042" t="s">
        <v>282</v>
      </c>
      <c r="C1042" s="22">
        <v>46105</v>
      </c>
      <c r="D1042" s="23">
        <v>23770</v>
      </c>
    </row>
    <row r="1043" spans="1:4">
      <c r="A1043" t="s">
        <v>23</v>
      </c>
      <c r="B1043" t="s">
        <v>63</v>
      </c>
      <c r="C1043" s="22">
        <v>46105</v>
      </c>
      <c r="D1043" s="23">
        <v>15843</v>
      </c>
    </row>
    <row r="1044" spans="1:4">
      <c r="A1044" t="s">
        <v>22</v>
      </c>
      <c r="B1044" t="s">
        <v>268</v>
      </c>
      <c r="C1044" s="22">
        <v>46105</v>
      </c>
      <c r="D1044" s="23">
        <v>28703</v>
      </c>
    </row>
    <row r="1045" spans="1:4">
      <c r="A1045" t="s">
        <v>20</v>
      </c>
      <c r="B1045" t="s">
        <v>144</v>
      </c>
      <c r="C1045" s="22">
        <v>46105</v>
      </c>
      <c r="D1045" s="23">
        <v>35284</v>
      </c>
    </row>
    <row r="1046" spans="1:4">
      <c r="A1046" t="s">
        <v>18</v>
      </c>
      <c r="B1046" t="s">
        <v>92</v>
      </c>
      <c r="C1046" s="22">
        <v>46105</v>
      </c>
      <c r="D1046" s="23">
        <v>44514</v>
      </c>
    </row>
    <row r="1047" spans="1:4">
      <c r="A1047" t="s">
        <v>18</v>
      </c>
      <c r="B1047" t="s">
        <v>200</v>
      </c>
      <c r="C1047" s="22">
        <v>46105</v>
      </c>
      <c r="D1047" s="23">
        <v>39966</v>
      </c>
    </row>
    <row r="1048" spans="1:4">
      <c r="A1048" t="s">
        <v>18</v>
      </c>
      <c r="B1048" t="s">
        <v>67</v>
      </c>
      <c r="C1048" s="22">
        <v>46105</v>
      </c>
      <c r="D1048" s="23">
        <v>38259</v>
      </c>
    </row>
    <row r="1049" spans="1:4">
      <c r="A1049" t="s">
        <v>18</v>
      </c>
      <c r="B1049" t="s">
        <v>94</v>
      </c>
      <c r="C1049" s="22">
        <v>46105</v>
      </c>
      <c r="D1049" s="23">
        <v>41366</v>
      </c>
    </row>
    <row r="1050" spans="1:4">
      <c r="A1050" t="s">
        <v>18</v>
      </c>
      <c r="B1050" t="s">
        <v>69</v>
      </c>
      <c r="C1050" s="22">
        <v>46105</v>
      </c>
      <c r="D1050" s="23">
        <v>31966</v>
      </c>
    </row>
    <row r="1051" spans="1:4">
      <c r="A1051" t="s">
        <v>22</v>
      </c>
      <c r="B1051" t="s">
        <v>143</v>
      </c>
      <c r="C1051" s="22">
        <v>46106</v>
      </c>
      <c r="D1051" s="23">
        <v>23295</v>
      </c>
    </row>
    <row r="1052" spans="1:4">
      <c r="A1052" t="s">
        <v>20</v>
      </c>
      <c r="B1052" t="s">
        <v>272</v>
      </c>
      <c r="C1052" s="22">
        <v>46106</v>
      </c>
      <c r="D1052" s="23">
        <v>28673</v>
      </c>
    </row>
    <row r="1053" spans="1:4">
      <c r="A1053" t="s">
        <v>20</v>
      </c>
      <c r="B1053" t="s">
        <v>116</v>
      </c>
      <c r="C1053" s="22">
        <v>46106</v>
      </c>
      <c r="D1053" s="23">
        <v>29852</v>
      </c>
    </row>
    <row r="1054" spans="1:4">
      <c r="A1054" t="s">
        <v>20</v>
      </c>
      <c r="B1054" t="s">
        <v>199</v>
      </c>
      <c r="C1054" s="22">
        <v>46106</v>
      </c>
      <c r="D1054" s="23">
        <v>52333</v>
      </c>
    </row>
    <row r="1055" spans="1:4">
      <c r="A1055" t="s">
        <v>18</v>
      </c>
      <c r="B1055" t="s">
        <v>94</v>
      </c>
      <c r="C1055" s="22">
        <v>46106</v>
      </c>
      <c r="D1055" s="23">
        <v>40175</v>
      </c>
    </row>
    <row r="1056" spans="1:4">
      <c r="A1056" t="s">
        <v>18</v>
      </c>
      <c r="B1056" t="s">
        <v>172</v>
      </c>
      <c r="C1056" s="22">
        <v>46106</v>
      </c>
      <c r="D1056" s="23">
        <v>42246</v>
      </c>
    </row>
    <row r="1057" spans="1:4">
      <c r="A1057" t="s">
        <v>18</v>
      </c>
      <c r="B1057" t="s">
        <v>208</v>
      </c>
      <c r="C1057" s="22">
        <v>46106</v>
      </c>
      <c r="D1057" s="23">
        <v>56476</v>
      </c>
    </row>
    <row r="1058" spans="1:4">
      <c r="A1058" t="s">
        <v>21</v>
      </c>
      <c r="B1058" t="s">
        <v>246</v>
      </c>
      <c r="C1058" s="22">
        <v>46107</v>
      </c>
      <c r="D1058" s="23">
        <v>8548</v>
      </c>
    </row>
    <row r="1059" spans="1:4">
      <c r="A1059" t="s">
        <v>27</v>
      </c>
      <c r="B1059" t="s">
        <v>166</v>
      </c>
      <c r="C1059" s="22">
        <v>46107</v>
      </c>
      <c r="D1059" s="23">
        <v>15635</v>
      </c>
    </row>
    <row r="1060" spans="1:4">
      <c r="A1060" t="s">
        <v>23</v>
      </c>
      <c r="B1060" t="s">
        <v>221</v>
      </c>
      <c r="C1060" s="22">
        <v>46107</v>
      </c>
      <c r="D1060" s="23">
        <v>21434</v>
      </c>
    </row>
    <row r="1061" spans="1:4">
      <c r="A1061" t="s">
        <v>20</v>
      </c>
      <c r="B1061" t="s">
        <v>144</v>
      </c>
      <c r="C1061" s="22">
        <v>46107</v>
      </c>
      <c r="D1061" s="23">
        <v>41356</v>
      </c>
    </row>
    <row r="1062" spans="1:4">
      <c r="A1062" t="s">
        <v>20</v>
      </c>
      <c r="B1062" t="s">
        <v>89</v>
      </c>
      <c r="C1062" s="22">
        <v>46107</v>
      </c>
      <c r="D1062" s="23">
        <v>38162</v>
      </c>
    </row>
    <row r="1063" spans="1:4">
      <c r="A1063" t="s">
        <v>18</v>
      </c>
      <c r="B1063" t="s">
        <v>66</v>
      </c>
      <c r="C1063" s="22">
        <v>46107</v>
      </c>
      <c r="D1063" s="23">
        <v>27478</v>
      </c>
    </row>
    <row r="1064" spans="1:4">
      <c r="A1064" t="s">
        <v>18</v>
      </c>
      <c r="B1064" t="s">
        <v>85</v>
      </c>
      <c r="C1064" s="22">
        <v>46107</v>
      </c>
      <c r="D1064" s="23">
        <v>52655</v>
      </c>
    </row>
    <row r="1065" spans="1:4">
      <c r="A1065" t="s">
        <v>18</v>
      </c>
      <c r="B1065" t="s">
        <v>138</v>
      </c>
      <c r="C1065" s="22">
        <v>46107</v>
      </c>
      <c r="D1065" s="23">
        <v>46831</v>
      </c>
    </row>
    <row r="1066" spans="1:4">
      <c r="A1066" t="s">
        <v>28</v>
      </c>
      <c r="B1066" t="s">
        <v>185</v>
      </c>
      <c r="C1066" s="22">
        <v>46108</v>
      </c>
      <c r="D1066" s="23">
        <v>11262</v>
      </c>
    </row>
    <row r="1067" spans="1:4">
      <c r="A1067" t="s">
        <v>21</v>
      </c>
      <c r="B1067" t="s">
        <v>104</v>
      </c>
      <c r="C1067" s="22">
        <v>46108</v>
      </c>
      <c r="D1067" s="23">
        <v>30431</v>
      </c>
    </row>
    <row r="1068" spans="1:4">
      <c r="A1068" t="s">
        <v>26</v>
      </c>
      <c r="B1068" t="s">
        <v>48</v>
      </c>
      <c r="C1068" s="22">
        <v>46108</v>
      </c>
      <c r="D1068" s="23">
        <v>19862</v>
      </c>
    </row>
    <row r="1069" spans="1:4">
      <c r="A1069" t="s">
        <v>27</v>
      </c>
      <c r="B1069" t="s">
        <v>194</v>
      </c>
      <c r="C1069" s="22">
        <v>46108</v>
      </c>
      <c r="D1069" s="23">
        <v>16742</v>
      </c>
    </row>
    <row r="1070" spans="1:4">
      <c r="A1070" t="s">
        <v>23</v>
      </c>
      <c r="B1070" t="s">
        <v>232</v>
      </c>
      <c r="C1070" s="22">
        <v>46108</v>
      </c>
      <c r="D1070" s="23">
        <v>33310</v>
      </c>
    </row>
    <row r="1071" spans="1:4">
      <c r="A1071" t="s">
        <v>22</v>
      </c>
      <c r="B1071" t="s">
        <v>249</v>
      </c>
      <c r="C1071" s="22">
        <v>46108</v>
      </c>
      <c r="D1071" s="23">
        <v>38815</v>
      </c>
    </row>
    <row r="1072" spans="1:4">
      <c r="A1072" t="s">
        <v>20</v>
      </c>
      <c r="B1072" t="s">
        <v>115</v>
      </c>
      <c r="C1072" s="22">
        <v>46108</v>
      </c>
      <c r="D1072" s="23">
        <v>43461</v>
      </c>
    </row>
    <row r="1073" spans="1:4">
      <c r="A1073" t="s">
        <v>20</v>
      </c>
      <c r="B1073" t="s">
        <v>90</v>
      </c>
      <c r="C1073" s="22">
        <v>46108</v>
      </c>
      <c r="D1073" s="23">
        <v>31528</v>
      </c>
    </row>
    <row r="1074" spans="1:4">
      <c r="A1074" t="s">
        <v>20</v>
      </c>
      <c r="B1074" t="s">
        <v>145</v>
      </c>
      <c r="C1074" s="22">
        <v>46108</v>
      </c>
      <c r="D1074" s="23">
        <v>30492</v>
      </c>
    </row>
    <row r="1075" spans="1:4">
      <c r="A1075" t="s">
        <v>20</v>
      </c>
      <c r="B1075" t="s">
        <v>215</v>
      </c>
      <c r="C1075" s="22">
        <v>46108</v>
      </c>
      <c r="D1075" s="23">
        <v>27560</v>
      </c>
    </row>
    <row r="1076" spans="1:4">
      <c r="A1076" t="s">
        <v>20</v>
      </c>
      <c r="B1076" t="s">
        <v>265</v>
      </c>
      <c r="C1076" s="22">
        <v>46108</v>
      </c>
      <c r="D1076" s="23">
        <v>31750</v>
      </c>
    </row>
    <row r="1077" spans="1:4">
      <c r="A1077" t="s">
        <v>18</v>
      </c>
      <c r="B1077" t="s">
        <v>64</v>
      </c>
      <c r="C1077" s="22">
        <v>46108</v>
      </c>
      <c r="D1077" s="23">
        <v>37286</v>
      </c>
    </row>
    <row r="1078" spans="1:4">
      <c r="A1078" t="s">
        <v>18</v>
      </c>
      <c r="B1078" t="s">
        <v>57</v>
      </c>
      <c r="C1078" s="22">
        <v>46108</v>
      </c>
      <c r="D1078" s="23">
        <v>44410</v>
      </c>
    </row>
    <row r="1079" spans="1:4">
      <c r="A1079" t="s">
        <v>18</v>
      </c>
      <c r="B1079" t="s">
        <v>108</v>
      </c>
      <c r="C1079" s="22">
        <v>46108</v>
      </c>
      <c r="D1079" s="23">
        <v>22923</v>
      </c>
    </row>
    <row r="1080" spans="1:4">
      <c r="A1080" t="s">
        <v>21</v>
      </c>
      <c r="B1080" t="s">
        <v>87</v>
      </c>
      <c r="C1080" s="22">
        <v>46109</v>
      </c>
      <c r="D1080" s="23">
        <v>12659</v>
      </c>
    </row>
    <row r="1081" spans="1:4">
      <c r="A1081" t="s">
        <v>21</v>
      </c>
      <c r="B1081" t="s">
        <v>168</v>
      </c>
      <c r="C1081" s="22">
        <v>46109</v>
      </c>
      <c r="D1081" s="23">
        <v>29881</v>
      </c>
    </row>
    <row r="1082" spans="1:4">
      <c r="A1082" t="s">
        <v>21</v>
      </c>
      <c r="B1082" t="s">
        <v>174</v>
      </c>
      <c r="C1082" s="22">
        <v>46109</v>
      </c>
      <c r="D1082" s="23">
        <v>35843</v>
      </c>
    </row>
    <row r="1083" spans="1:4">
      <c r="A1083" t="s">
        <v>21</v>
      </c>
      <c r="B1083" t="s">
        <v>254</v>
      </c>
      <c r="C1083" s="22">
        <v>46109</v>
      </c>
      <c r="D1083" s="23">
        <v>31294</v>
      </c>
    </row>
    <row r="1084" spans="1:4">
      <c r="A1084" t="s">
        <v>33</v>
      </c>
      <c r="B1084" t="s">
        <v>241</v>
      </c>
      <c r="C1084" s="22">
        <v>46109</v>
      </c>
      <c r="D1084" s="23">
        <v>9278</v>
      </c>
    </row>
    <row r="1085" spans="1:4">
      <c r="A1085" t="s">
        <v>22</v>
      </c>
      <c r="B1085" t="s">
        <v>137</v>
      </c>
      <c r="C1085" s="22">
        <v>46109</v>
      </c>
      <c r="D1085" s="23">
        <v>10001</v>
      </c>
    </row>
    <row r="1086" spans="1:4">
      <c r="A1086" t="s">
        <v>22</v>
      </c>
      <c r="B1086" t="s">
        <v>184</v>
      </c>
      <c r="C1086" s="22">
        <v>46109</v>
      </c>
      <c r="D1086" s="23">
        <v>36110</v>
      </c>
    </row>
    <row r="1087" spans="1:4">
      <c r="A1087" t="s">
        <v>18</v>
      </c>
      <c r="B1087" t="s">
        <v>53</v>
      </c>
      <c r="C1087" s="22">
        <v>46109</v>
      </c>
      <c r="D1087" s="23">
        <v>29186</v>
      </c>
    </row>
    <row r="1088" spans="1:4">
      <c r="A1088" t="s">
        <v>28</v>
      </c>
      <c r="B1088" t="s">
        <v>218</v>
      </c>
      <c r="C1088" s="22">
        <v>46110</v>
      </c>
      <c r="D1088" s="23">
        <v>21160</v>
      </c>
    </row>
    <row r="1089" spans="1:4">
      <c r="A1089" t="s">
        <v>39</v>
      </c>
      <c r="B1089" t="s">
        <v>74</v>
      </c>
      <c r="C1089" s="22">
        <v>46110</v>
      </c>
      <c r="D1089" s="23">
        <v>23359</v>
      </c>
    </row>
    <row r="1090" spans="1:4">
      <c r="A1090" t="s">
        <v>21</v>
      </c>
      <c r="B1090" t="s">
        <v>146</v>
      </c>
      <c r="C1090" s="22">
        <v>46110</v>
      </c>
      <c r="D1090" s="23">
        <v>16317</v>
      </c>
    </row>
    <row r="1091" spans="1:4">
      <c r="A1091" t="s">
        <v>21</v>
      </c>
      <c r="B1091" t="s">
        <v>148</v>
      </c>
      <c r="C1091" s="22">
        <v>46110</v>
      </c>
      <c r="D1091" s="23">
        <v>37252</v>
      </c>
    </row>
    <row r="1092" spans="1:4">
      <c r="A1092" t="s">
        <v>36</v>
      </c>
      <c r="B1092" t="s">
        <v>101</v>
      </c>
      <c r="C1092" s="22">
        <v>46110</v>
      </c>
      <c r="D1092" s="23">
        <v>24104</v>
      </c>
    </row>
    <row r="1093" spans="1:4">
      <c r="A1093" t="s">
        <v>23</v>
      </c>
      <c r="B1093" t="s">
        <v>234</v>
      </c>
      <c r="C1093" s="22">
        <v>46110</v>
      </c>
      <c r="D1093" s="23">
        <v>23246</v>
      </c>
    </row>
    <row r="1094" spans="1:4">
      <c r="A1094" t="s">
        <v>35</v>
      </c>
      <c r="B1094" t="s">
        <v>196</v>
      </c>
      <c r="C1094" s="22">
        <v>46110</v>
      </c>
      <c r="D1094" s="23">
        <v>13994</v>
      </c>
    </row>
    <row r="1095" spans="1:4">
      <c r="A1095" t="s">
        <v>29</v>
      </c>
      <c r="B1095" t="s">
        <v>283</v>
      </c>
      <c r="C1095" s="22">
        <v>46110</v>
      </c>
      <c r="D1095" s="23">
        <v>15359</v>
      </c>
    </row>
    <row r="1096" spans="1:4">
      <c r="A1096" t="s">
        <v>20</v>
      </c>
      <c r="B1096" t="s">
        <v>127</v>
      </c>
      <c r="C1096" s="22">
        <v>46110</v>
      </c>
      <c r="D1096" s="23">
        <v>31030</v>
      </c>
    </row>
    <row r="1097" spans="1:4">
      <c r="A1097" t="s">
        <v>20</v>
      </c>
      <c r="B1097" t="s">
        <v>230</v>
      </c>
      <c r="C1097" s="22">
        <v>46110</v>
      </c>
      <c r="D1097" s="23">
        <v>44277</v>
      </c>
    </row>
    <row r="1098" spans="1:4">
      <c r="A1098" t="s">
        <v>20</v>
      </c>
      <c r="B1098" t="s">
        <v>116</v>
      </c>
      <c r="C1098" s="22">
        <v>46110</v>
      </c>
      <c r="D1098" s="23">
        <v>33707</v>
      </c>
    </row>
    <row r="1099" spans="1:4">
      <c r="A1099" t="s">
        <v>18</v>
      </c>
      <c r="B1099" t="s">
        <v>200</v>
      </c>
      <c r="C1099" s="22">
        <v>46110</v>
      </c>
      <c r="D1099" s="23">
        <v>32991</v>
      </c>
    </row>
    <row r="1100" spans="1:4">
      <c r="A1100" t="s">
        <v>18</v>
      </c>
      <c r="B1100" t="s">
        <v>93</v>
      </c>
      <c r="C1100" s="22">
        <v>46110</v>
      </c>
      <c r="D1100" s="23">
        <v>42212</v>
      </c>
    </row>
    <row r="1101" spans="1:4">
      <c r="A1101" t="s">
        <v>18</v>
      </c>
      <c r="B1101" t="s">
        <v>139</v>
      </c>
      <c r="C1101" s="22">
        <v>46110</v>
      </c>
      <c r="D1101" s="23">
        <v>31464</v>
      </c>
    </row>
    <row r="1102" spans="1:4">
      <c r="A1102" t="s">
        <v>37</v>
      </c>
      <c r="B1102" t="s">
        <v>269</v>
      </c>
      <c r="C1102" s="22">
        <v>46111</v>
      </c>
      <c r="D1102" s="23">
        <v>14957</v>
      </c>
    </row>
    <row r="1103" spans="1:4">
      <c r="A1103" t="s">
        <v>32</v>
      </c>
      <c r="B1103" t="s">
        <v>257</v>
      </c>
      <c r="C1103" s="22">
        <v>46111</v>
      </c>
      <c r="D1103" s="23">
        <v>27210</v>
      </c>
    </row>
    <row r="1104" spans="1:4">
      <c r="A1104" t="s">
        <v>32</v>
      </c>
      <c r="B1104" t="s">
        <v>178</v>
      </c>
      <c r="C1104" s="22">
        <v>46111</v>
      </c>
      <c r="D1104" s="23">
        <v>11661</v>
      </c>
    </row>
    <row r="1105" spans="1:4">
      <c r="A1105" t="s">
        <v>23</v>
      </c>
      <c r="B1105" t="s">
        <v>212</v>
      </c>
      <c r="C1105" s="22">
        <v>46111</v>
      </c>
      <c r="D1105" s="23">
        <v>32205</v>
      </c>
    </row>
    <row r="1106" spans="1:4">
      <c r="A1106" t="s">
        <v>22</v>
      </c>
      <c r="B1106" t="s">
        <v>133</v>
      </c>
      <c r="C1106" s="22">
        <v>46111</v>
      </c>
      <c r="D1106" s="23">
        <v>26963</v>
      </c>
    </row>
    <row r="1107" spans="1:4">
      <c r="A1107" t="s">
        <v>22</v>
      </c>
      <c r="B1107" t="s">
        <v>213</v>
      </c>
      <c r="C1107" s="22">
        <v>46111</v>
      </c>
      <c r="D1107" s="23">
        <v>30108</v>
      </c>
    </row>
    <row r="1108" spans="1:4">
      <c r="A1108" t="s">
        <v>20</v>
      </c>
      <c r="B1108" t="s">
        <v>214</v>
      </c>
      <c r="C1108" s="22">
        <v>46111</v>
      </c>
      <c r="D1108" s="23">
        <v>39951</v>
      </c>
    </row>
    <row r="1109" spans="1:4">
      <c r="A1109" t="s">
        <v>18</v>
      </c>
      <c r="B1109" t="s">
        <v>59</v>
      </c>
      <c r="C1109" s="22">
        <v>46111</v>
      </c>
      <c r="D1109" s="23">
        <v>46967</v>
      </c>
    </row>
    <row r="1110" spans="1:4">
      <c r="A1110" t="s">
        <v>18</v>
      </c>
      <c r="B1110" t="s">
        <v>93</v>
      </c>
      <c r="C1110" s="22">
        <v>46111</v>
      </c>
      <c r="D1110" s="23">
        <v>50166</v>
      </c>
    </row>
    <row r="1111" spans="1:4">
      <c r="A1111" t="s">
        <v>18</v>
      </c>
      <c r="B1111" t="s">
        <v>94</v>
      </c>
      <c r="C1111" s="22">
        <v>46111</v>
      </c>
      <c r="D1111" s="23">
        <v>43920</v>
      </c>
    </row>
    <row r="1112" spans="1:4">
      <c r="A1112" t="s">
        <v>18</v>
      </c>
      <c r="B1112" t="s">
        <v>68</v>
      </c>
      <c r="C1112" s="22">
        <v>46111</v>
      </c>
      <c r="D1112" s="23">
        <v>41859</v>
      </c>
    </row>
    <row r="1113" spans="1:4">
      <c r="A1113" t="s">
        <v>18</v>
      </c>
      <c r="B1113" t="s">
        <v>192</v>
      </c>
      <c r="C1113" s="22">
        <v>46111</v>
      </c>
      <c r="D1113" s="23">
        <v>45441</v>
      </c>
    </row>
    <row r="1114" spans="1:4">
      <c r="A1114" t="s">
        <v>18</v>
      </c>
      <c r="B1114" t="s">
        <v>71</v>
      </c>
      <c r="C1114" s="22">
        <v>46111</v>
      </c>
      <c r="D1114" s="23">
        <v>37865</v>
      </c>
    </row>
    <row r="1115" spans="1:4">
      <c r="A1115" t="s">
        <v>21</v>
      </c>
      <c r="B1115" t="s">
        <v>65</v>
      </c>
      <c r="C1115" s="22">
        <v>46112</v>
      </c>
      <c r="D1115" s="23">
        <v>43961</v>
      </c>
    </row>
    <row r="1116" spans="1:4">
      <c r="A1116" t="s">
        <v>21</v>
      </c>
      <c r="B1116" t="s">
        <v>119</v>
      </c>
      <c r="C1116" s="22">
        <v>46112</v>
      </c>
      <c r="D1116" s="23">
        <v>39670</v>
      </c>
    </row>
    <row r="1117" spans="1:4">
      <c r="A1117" t="s">
        <v>26</v>
      </c>
      <c r="B1117" t="s">
        <v>276</v>
      </c>
      <c r="C1117" s="22">
        <v>46112</v>
      </c>
      <c r="D1117" s="23">
        <v>12602</v>
      </c>
    </row>
    <row r="1118" spans="1:4">
      <c r="A1118" t="s">
        <v>31</v>
      </c>
      <c r="B1118" t="s">
        <v>160</v>
      </c>
      <c r="C1118" s="22">
        <v>46112</v>
      </c>
      <c r="D1118" s="23">
        <v>5200</v>
      </c>
    </row>
    <row r="1119" spans="1:4">
      <c r="A1119" t="s">
        <v>31</v>
      </c>
      <c r="B1119" t="s">
        <v>193</v>
      </c>
      <c r="C1119" s="22">
        <v>46112</v>
      </c>
      <c r="D1119" s="23">
        <v>13351</v>
      </c>
    </row>
    <row r="1120" spans="1:4">
      <c r="A1120" t="s">
        <v>32</v>
      </c>
      <c r="B1120" t="s">
        <v>179</v>
      </c>
      <c r="C1120" s="22">
        <v>46112</v>
      </c>
      <c r="D1120" s="23">
        <v>15278</v>
      </c>
    </row>
    <row r="1121" spans="1:4">
      <c r="A1121" t="s">
        <v>23</v>
      </c>
      <c r="B1121" t="s">
        <v>52</v>
      </c>
      <c r="C1121" s="22">
        <v>46112</v>
      </c>
      <c r="D1121" s="23">
        <v>12544</v>
      </c>
    </row>
    <row r="1122" spans="1:4">
      <c r="A1122" t="s">
        <v>22</v>
      </c>
      <c r="B1122" t="s">
        <v>238</v>
      </c>
      <c r="C1122" s="22">
        <v>46112</v>
      </c>
      <c r="D1122" s="23">
        <v>17415</v>
      </c>
    </row>
    <row r="1123" spans="1:4">
      <c r="A1123" t="s">
        <v>20</v>
      </c>
      <c r="B1123" t="s">
        <v>207</v>
      </c>
      <c r="C1123" s="22">
        <v>46112</v>
      </c>
      <c r="D1123" s="23">
        <v>41979</v>
      </c>
    </row>
    <row r="1124" spans="1:4">
      <c r="A1124" t="s">
        <v>20</v>
      </c>
      <c r="B1124" t="s">
        <v>136</v>
      </c>
      <c r="C1124" s="22">
        <v>46112</v>
      </c>
      <c r="D1124" s="23">
        <v>27185</v>
      </c>
    </row>
    <row r="1125" spans="1:4">
      <c r="A1125" t="s">
        <v>20</v>
      </c>
      <c r="B1125" t="s">
        <v>169</v>
      </c>
      <c r="C1125" s="22">
        <v>46112</v>
      </c>
      <c r="D1125" s="23">
        <v>35993</v>
      </c>
    </row>
    <row r="1126" spans="1:4">
      <c r="A1126" t="s">
        <v>18</v>
      </c>
      <c r="B1126" t="s">
        <v>95</v>
      </c>
      <c r="C1126" s="22">
        <v>46112</v>
      </c>
      <c r="D1126" s="23">
        <v>46331</v>
      </c>
    </row>
    <row r="1127" spans="1:4">
      <c r="A1127" t="s">
        <v>18</v>
      </c>
      <c r="B1127" t="s">
        <v>117</v>
      </c>
      <c r="C1127" s="22">
        <v>46112</v>
      </c>
      <c r="D1127" s="23">
        <v>55596</v>
      </c>
    </row>
    <row r="1128" spans="1:4">
      <c r="A1128" t="s">
        <v>18</v>
      </c>
      <c r="B1128" t="s">
        <v>69</v>
      </c>
      <c r="C1128" s="22">
        <v>46112</v>
      </c>
      <c r="D1128" s="23">
        <v>28983</v>
      </c>
    </row>
    <row r="1129" spans="1:4">
      <c r="A1129" t="s">
        <v>18</v>
      </c>
      <c r="B1129" t="s">
        <v>172</v>
      </c>
      <c r="C1129" s="22">
        <v>46112</v>
      </c>
      <c r="D1129" s="23">
        <v>37872</v>
      </c>
    </row>
    <row r="1130" spans="1:4">
      <c r="A1130" t="s">
        <v>18</v>
      </c>
      <c r="B1130" t="s">
        <v>97</v>
      </c>
      <c r="C1130" s="22">
        <v>46112</v>
      </c>
      <c r="D1130" s="23">
        <v>58552</v>
      </c>
    </row>
    <row r="1131" spans="1:4">
      <c r="A1131" t="s">
        <v>28</v>
      </c>
      <c r="B1131" t="s">
        <v>202</v>
      </c>
      <c r="C1131" s="22">
        <v>46113</v>
      </c>
      <c r="D1131" s="23">
        <v>5200</v>
      </c>
    </row>
    <row r="1132" spans="1:4">
      <c r="A1132" t="s">
        <v>21</v>
      </c>
      <c r="B1132" t="s">
        <v>65</v>
      </c>
      <c r="C1132" s="22">
        <v>46113</v>
      </c>
      <c r="D1132" s="23">
        <v>45472</v>
      </c>
    </row>
    <row r="1133" spans="1:4">
      <c r="A1133" t="s">
        <v>26</v>
      </c>
      <c r="B1133" t="s">
        <v>270</v>
      </c>
      <c r="C1133" s="22">
        <v>46113</v>
      </c>
      <c r="D1133" s="23">
        <v>5200</v>
      </c>
    </row>
    <row r="1134" spans="1:4">
      <c r="A1134" t="s">
        <v>27</v>
      </c>
      <c r="B1134" t="s">
        <v>194</v>
      </c>
      <c r="C1134" s="22">
        <v>46113</v>
      </c>
      <c r="D1134" s="23">
        <v>16316</v>
      </c>
    </row>
    <row r="1135" spans="1:4">
      <c r="A1135" t="s">
        <v>25</v>
      </c>
      <c r="B1135" t="s">
        <v>228</v>
      </c>
      <c r="C1135" s="22">
        <v>46113</v>
      </c>
      <c r="D1135" s="23">
        <v>21598</v>
      </c>
    </row>
    <row r="1136" spans="1:4">
      <c r="A1136" t="s">
        <v>23</v>
      </c>
      <c r="B1136" t="s">
        <v>282</v>
      </c>
      <c r="C1136" s="22">
        <v>46113</v>
      </c>
      <c r="D1136" s="23">
        <v>25278</v>
      </c>
    </row>
    <row r="1137" spans="1:4">
      <c r="A1137" t="s">
        <v>18</v>
      </c>
      <c r="B1137" t="s">
        <v>106</v>
      </c>
      <c r="C1137" s="22">
        <v>46113</v>
      </c>
      <c r="D1137" s="23">
        <v>49187</v>
      </c>
    </row>
    <row r="1138" spans="1:4">
      <c r="A1138" t="s">
        <v>18</v>
      </c>
      <c r="B1138" t="s">
        <v>106</v>
      </c>
      <c r="C1138" s="22">
        <v>46113</v>
      </c>
      <c r="D1138" s="23">
        <v>38376</v>
      </c>
    </row>
    <row r="1139" spans="1:4">
      <c r="A1139" t="s">
        <v>18</v>
      </c>
      <c r="B1139" t="s">
        <v>68</v>
      </c>
      <c r="C1139" s="22">
        <v>46113</v>
      </c>
      <c r="D1139" s="23">
        <v>45606</v>
      </c>
    </row>
    <row r="1140" spans="1:4">
      <c r="A1140" t="s">
        <v>18</v>
      </c>
      <c r="B1140" t="s">
        <v>192</v>
      </c>
      <c r="C1140" s="22">
        <v>46113</v>
      </c>
      <c r="D1140" s="23">
        <v>47893</v>
      </c>
    </row>
    <row r="1141" spans="1:4">
      <c r="A1141" t="s">
        <v>18</v>
      </c>
      <c r="B1141" t="s">
        <v>69</v>
      </c>
      <c r="C1141" s="22">
        <v>46113</v>
      </c>
      <c r="D1141" s="23">
        <v>36211</v>
      </c>
    </row>
    <row r="1142" spans="1:4">
      <c r="A1142" t="s">
        <v>28</v>
      </c>
      <c r="B1142" t="s">
        <v>198</v>
      </c>
      <c r="C1142" s="22">
        <v>46114</v>
      </c>
      <c r="D1142" s="23">
        <v>8563</v>
      </c>
    </row>
    <row r="1143" spans="1:4">
      <c r="A1143" t="s">
        <v>21</v>
      </c>
      <c r="B1143" t="s">
        <v>94</v>
      </c>
      <c r="C1143" s="22">
        <v>46114</v>
      </c>
      <c r="D1143" s="23">
        <v>56994</v>
      </c>
    </row>
    <row r="1144" spans="1:4">
      <c r="A1144" t="s">
        <v>21</v>
      </c>
      <c r="B1144" t="s">
        <v>237</v>
      </c>
      <c r="C1144" s="22">
        <v>46114</v>
      </c>
      <c r="D1144" s="23">
        <v>21820</v>
      </c>
    </row>
    <row r="1145" spans="1:4">
      <c r="A1145" t="s">
        <v>26</v>
      </c>
      <c r="B1145" t="s">
        <v>203</v>
      </c>
      <c r="C1145" s="22">
        <v>46114</v>
      </c>
      <c r="D1145" s="23">
        <v>21644</v>
      </c>
    </row>
    <row r="1146" spans="1:4">
      <c r="A1146" t="s">
        <v>23</v>
      </c>
      <c r="B1146" t="s">
        <v>62</v>
      </c>
      <c r="C1146" s="22">
        <v>46114</v>
      </c>
      <c r="D1146" s="23">
        <v>6907</v>
      </c>
    </row>
    <row r="1147" spans="1:4">
      <c r="A1147" t="s">
        <v>23</v>
      </c>
      <c r="B1147" t="s">
        <v>78</v>
      </c>
      <c r="C1147" s="22">
        <v>46114</v>
      </c>
      <c r="D1147" s="23">
        <v>6662</v>
      </c>
    </row>
    <row r="1148" spans="1:4">
      <c r="A1148" t="s">
        <v>23</v>
      </c>
      <c r="B1148" t="s">
        <v>264</v>
      </c>
      <c r="C1148" s="22">
        <v>46114</v>
      </c>
      <c r="D1148" s="23">
        <v>26641</v>
      </c>
    </row>
    <row r="1149" spans="1:4">
      <c r="A1149" t="s">
        <v>23</v>
      </c>
      <c r="B1149" t="s">
        <v>280</v>
      </c>
      <c r="C1149" s="22">
        <v>46114</v>
      </c>
      <c r="D1149" s="23">
        <v>27082</v>
      </c>
    </row>
    <row r="1150" spans="1:4">
      <c r="A1150" t="s">
        <v>22</v>
      </c>
      <c r="B1150" t="s">
        <v>137</v>
      </c>
      <c r="C1150" s="22">
        <v>46114</v>
      </c>
      <c r="D1150" s="23">
        <v>22729</v>
      </c>
    </row>
    <row r="1151" spans="1:4">
      <c r="A1151" t="s">
        <v>38</v>
      </c>
      <c r="B1151" t="s">
        <v>157</v>
      </c>
      <c r="C1151" s="22">
        <v>46114</v>
      </c>
      <c r="D1151" s="23">
        <v>14653</v>
      </c>
    </row>
    <row r="1152" spans="1:4">
      <c r="A1152" t="s">
        <v>20</v>
      </c>
      <c r="B1152" t="s">
        <v>229</v>
      </c>
      <c r="C1152" s="22">
        <v>46114</v>
      </c>
      <c r="D1152" s="23">
        <v>28932</v>
      </c>
    </row>
    <row r="1153" spans="1:4">
      <c r="A1153" t="s">
        <v>20</v>
      </c>
      <c r="B1153" t="s">
        <v>127</v>
      </c>
      <c r="C1153" s="22">
        <v>46114</v>
      </c>
      <c r="D1153" s="23">
        <v>39352</v>
      </c>
    </row>
    <row r="1154" spans="1:4">
      <c r="A1154" t="s">
        <v>20</v>
      </c>
      <c r="B1154" t="s">
        <v>104</v>
      </c>
      <c r="C1154" s="22">
        <v>46114</v>
      </c>
      <c r="D1154" s="23">
        <v>26083</v>
      </c>
    </row>
    <row r="1155" spans="1:4">
      <c r="A1155" t="s">
        <v>18</v>
      </c>
      <c r="B1155" t="s">
        <v>190</v>
      </c>
      <c r="C1155" s="22">
        <v>46114</v>
      </c>
      <c r="D1155" s="23">
        <v>47482</v>
      </c>
    </row>
    <row r="1156" spans="1:4">
      <c r="A1156" t="s">
        <v>18</v>
      </c>
      <c r="B1156" t="s">
        <v>260</v>
      </c>
      <c r="C1156" s="22">
        <v>46114</v>
      </c>
      <c r="D1156" s="23">
        <v>50732</v>
      </c>
    </row>
    <row r="1157" spans="1:4">
      <c r="A1157" t="s">
        <v>18</v>
      </c>
      <c r="B1157" t="s">
        <v>107</v>
      </c>
      <c r="C1157" s="22">
        <v>46114</v>
      </c>
      <c r="D1157" s="23">
        <v>40852</v>
      </c>
    </row>
    <row r="1158" spans="1:4">
      <c r="A1158" t="s">
        <v>21</v>
      </c>
      <c r="B1158" t="s">
        <v>226</v>
      </c>
      <c r="C1158" s="22">
        <v>46115</v>
      </c>
      <c r="D1158" s="23">
        <v>40596</v>
      </c>
    </row>
    <row r="1159" spans="1:4">
      <c r="A1159" t="s">
        <v>27</v>
      </c>
      <c r="B1159" t="s">
        <v>243</v>
      </c>
      <c r="C1159" s="22">
        <v>46115</v>
      </c>
      <c r="D1159" s="23">
        <v>9943</v>
      </c>
    </row>
    <row r="1160" spans="1:4">
      <c r="A1160" t="s">
        <v>23</v>
      </c>
      <c r="B1160" t="s">
        <v>212</v>
      </c>
      <c r="C1160" s="22">
        <v>46115</v>
      </c>
      <c r="D1160" s="23">
        <v>33699</v>
      </c>
    </row>
    <row r="1161" spans="1:4">
      <c r="A1161" t="s">
        <v>29</v>
      </c>
      <c r="B1161" t="s">
        <v>142</v>
      </c>
      <c r="C1161" s="22">
        <v>46115</v>
      </c>
      <c r="D1161" s="23">
        <v>13671</v>
      </c>
    </row>
    <row r="1162" spans="1:4">
      <c r="A1162" t="s">
        <v>20</v>
      </c>
      <c r="B1162" t="s">
        <v>272</v>
      </c>
      <c r="C1162" s="22">
        <v>46115</v>
      </c>
      <c r="D1162" s="23">
        <v>25188</v>
      </c>
    </row>
    <row r="1163" spans="1:4">
      <c r="A1163" t="s">
        <v>20</v>
      </c>
      <c r="B1163" t="s">
        <v>127</v>
      </c>
      <c r="C1163" s="22">
        <v>46115</v>
      </c>
      <c r="D1163" s="23">
        <v>29253</v>
      </c>
    </row>
    <row r="1164" spans="1:4">
      <c r="A1164" t="s">
        <v>18</v>
      </c>
      <c r="B1164" t="s">
        <v>171</v>
      </c>
      <c r="C1164" s="22">
        <v>46115</v>
      </c>
      <c r="D1164" s="23">
        <v>41942</v>
      </c>
    </row>
    <row r="1165" spans="1:4">
      <c r="A1165" t="s">
        <v>18</v>
      </c>
      <c r="B1165" t="s">
        <v>171</v>
      </c>
      <c r="C1165" s="22">
        <v>46115</v>
      </c>
      <c r="D1165" s="23">
        <v>30894</v>
      </c>
    </row>
    <row r="1166" spans="1:4">
      <c r="A1166" t="s">
        <v>18</v>
      </c>
      <c r="B1166" t="s">
        <v>192</v>
      </c>
      <c r="C1166" s="22">
        <v>46115</v>
      </c>
      <c r="D1166" s="23">
        <v>47415</v>
      </c>
    </row>
    <row r="1167" spans="1:4">
      <c r="A1167" t="s">
        <v>18</v>
      </c>
      <c r="B1167" t="s">
        <v>58</v>
      </c>
      <c r="C1167" s="22">
        <v>46115</v>
      </c>
      <c r="D1167" s="23">
        <v>40516</v>
      </c>
    </row>
    <row r="1168" spans="1:4">
      <c r="A1168" t="s">
        <v>18</v>
      </c>
      <c r="B1168" t="s">
        <v>208</v>
      </c>
      <c r="C1168" s="22">
        <v>46115</v>
      </c>
      <c r="D1168" s="23">
        <v>49316</v>
      </c>
    </row>
    <row r="1169" spans="1:4">
      <c r="A1169" t="s">
        <v>18</v>
      </c>
      <c r="B1169" t="s">
        <v>173</v>
      </c>
      <c r="C1169" s="22">
        <v>46115</v>
      </c>
      <c r="D1169" s="23">
        <v>32092</v>
      </c>
    </row>
    <row r="1170" spans="1:4">
      <c r="A1170" t="s">
        <v>37</v>
      </c>
      <c r="B1170" t="s">
        <v>269</v>
      </c>
      <c r="C1170" s="22">
        <v>46116</v>
      </c>
      <c r="D1170" s="23">
        <v>15551</v>
      </c>
    </row>
    <row r="1171" spans="1:4">
      <c r="A1171" t="s">
        <v>28</v>
      </c>
      <c r="B1171" t="s">
        <v>60</v>
      </c>
      <c r="C1171" s="22">
        <v>46116</v>
      </c>
      <c r="D1171" s="23">
        <v>12973</v>
      </c>
    </row>
    <row r="1172" spans="1:4">
      <c r="A1172" t="s">
        <v>21</v>
      </c>
      <c r="B1172" t="s">
        <v>254</v>
      </c>
      <c r="C1172" s="22">
        <v>46116</v>
      </c>
      <c r="D1172" s="23">
        <v>28774</v>
      </c>
    </row>
    <row r="1173" spans="1:4">
      <c r="A1173" t="s">
        <v>26</v>
      </c>
      <c r="B1173" t="s">
        <v>99</v>
      </c>
      <c r="C1173" s="22">
        <v>46116</v>
      </c>
      <c r="D1173" s="23">
        <v>37326</v>
      </c>
    </row>
    <row r="1174" spans="1:4">
      <c r="A1174" t="s">
        <v>22</v>
      </c>
      <c r="B1174" t="s">
        <v>80</v>
      </c>
      <c r="C1174" s="22">
        <v>46116</v>
      </c>
      <c r="D1174" s="23">
        <v>19397</v>
      </c>
    </row>
    <row r="1175" spans="1:4">
      <c r="A1175" t="s">
        <v>20</v>
      </c>
      <c r="B1175" t="s">
        <v>272</v>
      </c>
      <c r="C1175" s="22">
        <v>46116</v>
      </c>
      <c r="D1175" s="23">
        <v>31737</v>
      </c>
    </row>
    <row r="1176" spans="1:4">
      <c r="A1176" t="s">
        <v>20</v>
      </c>
      <c r="B1176" t="s">
        <v>102</v>
      </c>
      <c r="C1176" s="22">
        <v>46116</v>
      </c>
      <c r="D1176" s="23">
        <v>27073</v>
      </c>
    </row>
    <row r="1177" spans="1:4">
      <c r="A1177" t="s">
        <v>18</v>
      </c>
      <c r="B1177" t="s">
        <v>190</v>
      </c>
      <c r="C1177" s="22">
        <v>46116</v>
      </c>
      <c r="D1177" s="23">
        <v>36084</v>
      </c>
    </row>
    <row r="1178" spans="1:4">
      <c r="A1178" t="s">
        <v>18</v>
      </c>
      <c r="B1178" t="s">
        <v>85</v>
      </c>
      <c r="C1178" s="22">
        <v>46116</v>
      </c>
      <c r="D1178" s="23">
        <v>48669</v>
      </c>
    </row>
    <row r="1179" spans="1:4">
      <c r="A1179" t="s">
        <v>18</v>
      </c>
      <c r="B1179" t="s">
        <v>224</v>
      </c>
      <c r="C1179" s="22">
        <v>46116</v>
      </c>
      <c r="D1179" s="23">
        <v>50245</v>
      </c>
    </row>
    <row r="1180" spans="1:4">
      <c r="A1180" t="s">
        <v>26</v>
      </c>
      <c r="B1180" t="s">
        <v>220</v>
      </c>
      <c r="C1180" s="22">
        <v>46117</v>
      </c>
      <c r="D1180" s="23">
        <v>16628</v>
      </c>
    </row>
    <row r="1181" spans="1:4">
      <c r="A1181" t="s">
        <v>32</v>
      </c>
      <c r="B1181" t="s">
        <v>156</v>
      </c>
      <c r="C1181" s="22">
        <v>46117</v>
      </c>
      <c r="D1181" s="23">
        <v>14407</v>
      </c>
    </row>
    <row r="1182" spans="1:4">
      <c r="A1182" t="s">
        <v>29</v>
      </c>
      <c r="B1182" t="s">
        <v>283</v>
      </c>
      <c r="C1182" s="22">
        <v>46117</v>
      </c>
      <c r="D1182" s="23">
        <v>14513</v>
      </c>
    </row>
    <row r="1183" spans="1:4">
      <c r="A1183" t="s">
        <v>29</v>
      </c>
      <c r="B1183" t="s">
        <v>160</v>
      </c>
      <c r="C1183" s="22">
        <v>46117</v>
      </c>
      <c r="D1183" s="23">
        <v>5200</v>
      </c>
    </row>
    <row r="1184" spans="1:4">
      <c r="A1184" t="s">
        <v>20</v>
      </c>
      <c r="B1184" t="s">
        <v>168</v>
      </c>
      <c r="C1184" s="22">
        <v>46117</v>
      </c>
      <c r="D1184" s="23">
        <v>29477</v>
      </c>
    </row>
    <row r="1185" spans="1:4">
      <c r="A1185" t="s">
        <v>20</v>
      </c>
      <c r="B1185" t="s">
        <v>191</v>
      </c>
      <c r="C1185" s="22">
        <v>46117</v>
      </c>
      <c r="D1185" s="23">
        <v>57420</v>
      </c>
    </row>
    <row r="1186" spans="1:4">
      <c r="A1186" t="s">
        <v>20</v>
      </c>
      <c r="B1186" t="s">
        <v>214</v>
      </c>
      <c r="C1186" s="22">
        <v>46117</v>
      </c>
      <c r="D1186" s="23">
        <v>33444</v>
      </c>
    </row>
    <row r="1187" spans="1:4">
      <c r="A1187" t="s">
        <v>18</v>
      </c>
      <c r="B1187" t="s">
        <v>54</v>
      </c>
      <c r="C1187" s="22">
        <v>46117</v>
      </c>
      <c r="D1187" s="23">
        <v>49384</v>
      </c>
    </row>
    <row r="1188" spans="1:4">
      <c r="A1188" t="s">
        <v>18</v>
      </c>
      <c r="B1188" t="s">
        <v>84</v>
      </c>
      <c r="C1188" s="22">
        <v>46117</v>
      </c>
      <c r="D1188" s="23">
        <v>47748</v>
      </c>
    </row>
    <row r="1189" spans="1:4">
      <c r="A1189" t="s">
        <v>18</v>
      </c>
      <c r="B1189" t="s">
        <v>96</v>
      </c>
      <c r="C1189" s="22">
        <v>46117</v>
      </c>
      <c r="D1189" s="23">
        <v>50451</v>
      </c>
    </row>
    <row r="1190" spans="1:4">
      <c r="A1190" t="s">
        <v>18</v>
      </c>
      <c r="B1190" t="s">
        <v>162</v>
      </c>
      <c r="C1190" s="22">
        <v>46117</v>
      </c>
      <c r="D1190" s="23">
        <v>36414</v>
      </c>
    </row>
    <row r="1191" spans="1:4">
      <c r="A1191" t="s">
        <v>18</v>
      </c>
      <c r="B1191" t="s">
        <v>58</v>
      </c>
      <c r="C1191" s="22">
        <v>46117</v>
      </c>
      <c r="D1191" s="23">
        <v>50335</v>
      </c>
    </row>
    <row r="1192" spans="1:4">
      <c r="A1192" t="s">
        <v>18</v>
      </c>
      <c r="B1192" t="s">
        <v>72</v>
      </c>
      <c r="C1192" s="22">
        <v>46117</v>
      </c>
      <c r="D1192" s="23">
        <v>52835</v>
      </c>
    </row>
    <row r="1193" spans="1:4">
      <c r="A1193" t="s">
        <v>18</v>
      </c>
      <c r="B1193" t="s">
        <v>107</v>
      </c>
      <c r="C1193" s="22">
        <v>46117</v>
      </c>
      <c r="D1193" s="23">
        <v>53205</v>
      </c>
    </row>
    <row r="1194" spans="1:4">
      <c r="A1194" t="s">
        <v>21</v>
      </c>
      <c r="B1194" t="s">
        <v>87</v>
      </c>
      <c r="C1194" s="22">
        <v>46118</v>
      </c>
      <c r="D1194" s="23">
        <v>33394</v>
      </c>
    </row>
    <row r="1195" spans="1:4">
      <c r="A1195" t="s">
        <v>21</v>
      </c>
      <c r="B1195" t="s">
        <v>147</v>
      </c>
      <c r="C1195" s="22">
        <v>46118</v>
      </c>
      <c r="D1195" s="23">
        <v>9512</v>
      </c>
    </row>
    <row r="1196" spans="1:4">
      <c r="A1196" t="s">
        <v>21</v>
      </c>
      <c r="B1196" t="s">
        <v>163</v>
      </c>
      <c r="C1196" s="22">
        <v>46118</v>
      </c>
      <c r="D1196" s="23">
        <v>26327</v>
      </c>
    </row>
    <row r="1197" spans="1:4">
      <c r="A1197" t="s">
        <v>21</v>
      </c>
      <c r="B1197" t="s">
        <v>159</v>
      </c>
      <c r="C1197" s="22">
        <v>46118</v>
      </c>
      <c r="D1197" s="23">
        <v>38280</v>
      </c>
    </row>
    <row r="1198" spans="1:4">
      <c r="A1198" t="s">
        <v>33</v>
      </c>
      <c r="B1198" t="s">
        <v>241</v>
      </c>
      <c r="C1198" s="22">
        <v>46118</v>
      </c>
      <c r="D1198" s="23">
        <v>13471</v>
      </c>
    </row>
    <row r="1199" spans="1:4">
      <c r="A1199" t="s">
        <v>22</v>
      </c>
      <c r="B1199" t="s">
        <v>133</v>
      </c>
      <c r="C1199" s="22">
        <v>46118</v>
      </c>
      <c r="D1199" s="23">
        <v>26794</v>
      </c>
    </row>
    <row r="1200" spans="1:4">
      <c r="A1200" t="s">
        <v>22</v>
      </c>
      <c r="B1200" t="s">
        <v>134</v>
      </c>
      <c r="C1200" s="22">
        <v>46118</v>
      </c>
      <c r="D1200" s="23">
        <v>24951</v>
      </c>
    </row>
    <row r="1201" spans="1:4">
      <c r="A1201" t="s">
        <v>20</v>
      </c>
      <c r="B1201" t="s">
        <v>168</v>
      </c>
      <c r="C1201" s="22">
        <v>46118</v>
      </c>
      <c r="D1201" s="23">
        <v>27179</v>
      </c>
    </row>
    <row r="1202" spans="1:4">
      <c r="A1202" t="s">
        <v>20</v>
      </c>
      <c r="B1202" t="s">
        <v>70</v>
      </c>
      <c r="C1202" s="22">
        <v>46118</v>
      </c>
      <c r="D1202" s="23">
        <v>32795</v>
      </c>
    </row>
    <row r="1203" spans="1:4">
      <c r="A1203" t="s">
        <v>20</v>
      </c>
      <c r="B1203" t="s">
        <v>116</v>
      </c>
      <c r="C1203" s="22">
        <v>46118</v>
      </c>
      <c r="D1203" s="23">
        <v>22479</v>
      </c>
    </row>
    <row r="1204" spans="1:4">
      <c r="A1204" t="s">
        <v>18</v>
      </c>
      <c r="B1204" t="s">
        <v>84</v>
      </c>
      <c r="C1204" s="22">
        <v>46118</v>
      </c>
      <c r="D1204" s="23">
        <v>46216</v>
      </c>
    </row>
    <row r="1205" spans="1:4">
      <c r="A1205" t="s">
        <v>18</v>
      </c>
      <c r="B1205" t="s">
        <v>162</v>
      </c>
      <c r="C1205" s="22">
        <v>46118</v>
      </c>
      <c r="D1205" s="23">
        <v>38024</v>
      </c>
    </row>
    <row r="1206" spans="1:4">
      <c r="A1206" t="s">
        <v>18</v>
      </c>
      <c r="B1206" t="s">
        <v>172</v>
      </c>
      <c r="C1206" s="22">
        <v>46118</v>
      </c>
      <c r="D1206" s="23">
        <v>37713</v>
      </c>
    </row>
    <row r="1207" spans="1:4">
      <c r="A1207" t="s">
        <v>18</v>
      </c>
      <c r="B1207" t="s">
        <v>139</v>
      </c>
      <c r="C1207" s="22">
        <v>46118</v>
      </c>
      <c r="D1207" s="23">
        <v>29840</v>
      </c>
    </row>
    <row r="1208" spans="1:4">
      <c r="A1208" t="s">
        <v>18</v>
      </c>
      <c r="B1208" t="s">
        <v>208</v>
      </c>
      <c r="C1208" s="22">
        <v>46118</v>
      </c>
      <c r="D1208" s="23">
        <v>40979</v>
      </c>
    </row>
    <row r="1209" spans="1:4">
      <c r="A1209" t="s">
        <v>18</v>
      </c>
      <c r="B1209" t="s">
        <v>72</v>
      </c>
      <c r="C1209" s="22">
        <v>46118</v>
      </c>
      <c r="D1209" s="23">
        <v>48283</v>
      </c>
    </row>
    <row r="1210" spans="1:4">
      <c r="A1210" t="s">
        <v>18</v>
      </c>
      <c r="B1210" t="s">
        <v>72</v>
      </c>
      <c r="C1210" s="22">
        <v>46118</v>
      </c>
      <c r="D1210" s="23">
        <v>46213</v>
      </c>
    </row>
    <row r="1211" spans="1:4">
      <c r="A1211" t="s">
        <v>21</v>
      </c>
      <c r="B1211" t="s">
        <v>130</v>
      </c>
      <c r="C1211" s="22">
        <v>46119</v>
      </c>
      <c r="D1211" s="23">
        <v>23858</v>
      </c>
    </row>
    <row r="1212" spans="1:4">
      <c r="A1212" t="s">
        <v>21</v>
      </c>
      <c r="B1212" t="s">
        <v>119</v>
      </c>
      <c r="C1212" s="22">
        <v>46119</v>
      </c>
      <c r="D1212" s="23">
        <v>45906</v>
      </c>
    </row>
    <row r="1213" spans="1:4">
      <c r="A1213" t="s">
        <v>31</v>
      </c>
      <c r="B1213" t="s">
        <v>49</v>
      </c>
      <c r="C1213" s="22">
        <v>46119</v>
      </c>
      <c r="D1213" s="23">
        <v>18260</v>
      </c>
    </row>
    <row r="1214" spans="1:4">
      <c r="A1214" t="s">
        <v>32</v>
      </c>
      <c r="B1214" t="s">
        <v>257</v>
      </c>
      <c r="C1214" s="22">
        <v>46119</v>
      </c>
      <c r="D1214" s="23">
        <v>29428</v>
      </c>
    </row>
    <row r="1215" spans="1:4">
      <c r="A1215" t="s">
        <v>32</v>
      </c>
      <c r="B1215" t="s">
        <v>178</v>
      </c>
      <c r="C1215" s="22">
        <v>46119</v>
      </c>
      <c r="D1215" s="23">
        <v>17305</v>
      </c>
    </row>
    <row r="1216" spans="1:4">
      <c r="A1216" t="s">
        <v>34</v>
      </c>
      <c r="B1216" t="s">
        <v>261</v>
      </c>
      <c r="C1216" s="22">
        <v>46119</v>
      </c>
      <c r="D1216" s="23">
        <v>7148</v>
      </c>
    </row>
    <row r="1217" spans="1:4">
      <c r="A1217" t="s">
        <v>20</v>
      </c>
      <c r="B1217" t="s">
        <v>158</v>
      </c>
      <c r="C1217" s="22">
        <v>46119</v>
      </c>
      <c r="D1217" s="23">
        <v>28811</v>
      </c>
    </row>
    <row r="1218" spans="1:4">
      <c r="A1218" t="s">
        <v>18</v>
      </c>
      <c r="B1218" t="s">
        <v>106</v>
      </c>
      <c r="C1218" s="22">
        <v>46119</v>
      </c>
      <c r="D1218" s="23">
        <v>34365</v>
      </c>
    </row>
    <row r="1219" spans="1:4">
      <c r="A1219" t="s">
        <v>18</v>
      </c>
      <c r="B1219" t="s">
        <v>92</v>
      </c>
      <c r="C1219" s="22">
        <v>46119</v>
      </c>
      <c r="D1219" s="23">
        <v>50271</v>
      </c>
    </row>
    <row r="1220" spans="1:4">
      <c r="A1220" t="s">
        <v>18</v>
      </c>
      <c r="B1220" t="s">
        <v>92</v>
      </c>
      <c r="C1220" s="22">
        <v>46119</v>
      </c>
      <c r="D1220" s="23">
        <v>50662</v>
      </c>
    </row>
    <row r="1221" spans="1:4">
      <c r="A1221" t="s">
        <v>18</v>
      </c>
      <c r="B1221" t="s">
        <v>59</v>
      </c>
      <c r="C1221" s="22">
        <v>46119</v>
      </c>
      <c r="D1221" s="23">
        <v>45920</v>
      </c>
    </row>
    <row r="1222" spans="1:4">
      <c r="A1222" t="s">
        <v>18</v>
      </c>
      <c r="B1222" t="s">
        <v>108</v>
      </c>
      <c r="C1222" s="22">
        <v>46119</v>
      </c>
      <c r="D1222" s="23">
        <v>30861</v>
      </c>
    </row>
    <row r="1223" spans="1:4">
      <c r="A1223" t="s">
        <v>21</v>
      </c>
      <c r="B1223" t="s">
        <v>277</v>
      </c>
      <c r="C1223" s="22">
        <v>46120</v>
      </c>
      <c r="D1223" s="23">
        <v>34393</v>
      </c>
    </row>
    <row r="1224" spans="1:4">
      <c r="A1224" t="s">
        <v>21</v>
      </c>
      <c r="B1224" t="s">
        <v>130</v>
      </c>
      <c r="C1224" s="22">
        <v>46120</v>
      </c>
      <c r="D1224" s="23">
        <v>27684</v>
      </c>
    </row>
    <row r="1225" spans="1:4">
      <c r="A1225" t="s">
        <v>25</v>
      </c>
      <c r="B1225" t="s">
        <v>112</v>
      </c>
      <c r="C1225" s="22">
        <v>46120</v>
      </c>
      <c r="D1225" s="23">
        <v>6668</v>
      </c>
    </row>
    <row r="1226" spans="1:4">
      <c r="A1226" t="s">
        <v>29</v>
      </c>
      <c r="B1226" t="s">
        <v>141</v>
      </c>
      <c r="C1226" s="22">
        <v>46120</v>
      </c>
      <c r="D1226" s="23">
        <v>17807</v>
      </c>
    </row>
    <row r="1227" spans="1:4">
      <c r="A1227" t="s">
        <v>20</v>
      </c>
      <c r="B1227" t="s">
        <v>230</v>
      </c>
      <c r="C1227" s="22">
        <v>46120</v>
      </c>
      <c r="D1227" s="23">
        <v>45155</v>
      </c>
    </row>
    <row r="1228" spans="1:4">
      <c r="A1228" t="s">
        <v>18</v>
      </c>
      <c r="B1228" t="s">
        <v>54</v>
      </c>
      <c r="C1228" s="22">
        <v>46120</v>
      </c>
      <c r="D1228" s="23">
        <v>35604</v>
      </c>
    </row>
    <row r="1229" spans="1:4">
      <c r="A1229" t="s">
        <v>18</v>
      </c>
      <c r="B1229" t="s">
        <v>94</v>
      </c>
      <c r="C1229" s="22">
        <v>46120</v>
      </c>
      <c r="D1229" s="23">
        <v>40242</v>
      </c>
    </row>
    <row r="1230" spans="1:4">
      <c r="A1230" t="s">
        <v>18</v>
      </c>
      <c r="B1230" t="s">
        <v>96</v>
      </c>
      <c r="C1230" s="22">
        <v>46120</v>
      </c>
      <c r="D1230" s="23">
        <v>46386</v>
      </c>
    </row>
    <row r="1231" spans="1:4">
      <c r="A1231" t="s">
        <v>18</v>
      </c>
      <c r="B1231" t="s">
        <v>69</v>
      </c>
      <c r="C1231" s="22">
        <v>46120</v>
      </c>
      <c r="D1231" s="23">
        <v>30041</v>
      </c>
    </row>
    <row r="1232" spans="1:4">
      <c r="A1232" t="s">
        <v>18</v>
      </c>
      <c r="B1232" t="s">
        <v>208</v>
      </c>
      <c r="C1232" s="22">
        <v>46120</v>
      </c>
      <c r="D1232" s="23">
        <v>48347</v>
      </c>
    </row>
    <row r="1233" spans="1:4">
      <c r="A1233" t="s">
        <v>26</v>
      </c>
      <c r="B1233" t="s">
        <v>61</v>
      </c>
      <c r="C1233" s="22">
        <v>46121</v>
      </c>
      <c r="D1233" s="23">
        <v>33349</v>
      </c>
    </row>
    <row r="1234" spans="1:4">
      <c r="A1234" t="s">
        <v>26</v>
      </c>
      <c r="B1234" t="s">
        <v>255</v>
      </c>
      <c r="C1234" s="22">
        <v>46121</v>
      </c>
      <c r="D1234" s="23">
        <v>35408</v>
      </c>
    </row>
    <row r="1235" spans="1:4">
      <c r="A1235" t="s">
        <v>29</v>
      </c>
      <c r="B1235" t="s">
        <v>193</v>
      </c>
      <c r="C1235" s="22">
        <v>46121</v>
      </c>
      <c r="D1235" s="23">
        <v>13459</v>
      </c>
    </row>
    <row r="1236" spans="1:4">
      <c r="A1236" t="s">
        <v>22</v>
      </c>
      <c r="B1236" t="s">
        <v>81</v>
      </c>
      <c r="C1236" s="22">
        <v>46121</v>
      </c>
      <c r="D1236" s="23">
        <v>33290</v>
      </c>
    </row>
    <row r="1237" spans="1:4">
      <c r="A1237" t="s">
        <v>22</v>
      </c>
      <c r="B1237" t="s">
        <v>223</v>
      </c>
      <c r="C1237" s="22">
        <v>46121</v>
      </c>
      <c r="D1237" s="23">
        <v>23445</v>
      </c>
    </row>
    <row r="1238" spans="1:4">
      <c r="A1238" t="s">
        <v>22</v>
      </c>
      <c r="B1238" t="s">
        <v>125</v>
      </c>
      <c r="C1238" s="22">
        <v>46121</v>
      </c>
      <c r="D1238" s="23">
        <v>36178</v>
      </c>
    </row>
    <row r="1239" spans="1:4">
      <c r="A1239" t="s">
        <v>22</v>
      </c>
      <c r="B1239" t="s">
        <v>271</v>
      </c>
      <c r="C1239" s="22">
        <v>46121</v>
      </c>
      <c r="D1239" s="23">
        <v>28058</v>
      </c>
    </row>
    <row r="1240" spans="1:4">
      <c r="A1240" t="s">
        <v>20</v>
      </c>
      <c r="B1240" t="s">
        <v>127</v>
      </c>
      <c r="C1240" s="22">
        <v>46121</v>
      </c>
      <c r="D1240" s="23">
        <v>25654</v>
      </c>
    </row>
    <row r="1241" spans="1:4">
      <c r="A1241" t="s">
        <v>18</v>
      </c>
      <c r="B1241" t="s">
        <v>55</v>
      </c>
      <c r="C1241" s="22">
        <v>46121</v>
      </c>
      <c r="D1241" s="23">
        <v>32902</v>
      </c>
    </row>
    <row r="1242" spans="1:4">
      <c r="A1242" t="s">
        <v>18</v>
      </c>
      <c r="B1242" t="s">
        <v>64</v>
      </c>
      <c r="C1242" s="22">
        <v>46121</v>
      </c>
      <c r="D1242" s="23">
        <v>48799</v>
      </c>
    </row>
    <row r="1243" spans="1:4">
      <c r="A1243" t="s">
        <v>18</v>
      </c>
      <c r="B1243" t="s">
        <v>67</v>
      </c>
      <c r="C1243" s="22">
        <v>46121</v>
      </c>
      <c r="D1243" s="23">
        <v>51962</v>
      </c>
    </row>
    <row r="1244" spans="1:4">
      <c r="A1244" t="s">
        <v>18</v>
      </c>
      <c r="B1244" t="s">
        <v>84</v>
      </c>
      <c r="C1244" s="22">
        <v>46121</v>
      </c>
      <c r="D1244" s="23">
        <v>54685</v>
      </c>
    </row>
    <row r="1245" spans="1:4">
      <c r="A1245" t="s">
        <v>18</v>
      </c>
      <c r="B1245" t="s">
        <v>70</v>
      </c>
      <c r="C1245" s="22">
        <v>46121</v>
      </c>
      <c r="D1245" s="23">
        <v>29285</v>
      </c>
    </row>
    <row r="1246" spans="1:4">
      <c r="A1246" t="s">
        <v>18</v>
      </c>
      <c r="B1246" t="s">
        <v>57</v>
      </c>
      <c r="C1246" s="22">
        <v>46121</v>
      </c>
      <c r="D1246" s="23">
        <v>28209</v>
      </c>
    </row>
    <row r="1247" spans="1:4">
      <c r="A1247" t="s">
        <v>18</v>
      </c>
      <c r="B1247" t="s">
        <v>128</v>
      </c>
      <c r="C1247" s="22">
        <v>46121</v>
      </c>
      <c r="D1247" s="23">
        <v>48183</v>
      </c>
    </row>
    <row r="1248" spans="1:4">
      <c r="A1248" t="s">
        <v>18</v>
      </c>
      <c r="B1248" t="s">
        <v>107</v>
      </c>
      <c r="C1248" s="22">
        <v>46121</v>
      </c>
      <c r="D1248" s="23">
        <v>39907</v>
      </c>
    </row>
    <row r="1249" spans="1:4">
      <c r="A1249" t="s">
        <v>21</v>
      </c>
      <c r="B1249" t="s">
        <v>253</v>
      </c>
      <c r="C1249" s="22">
        <v>46122</v>
      </c>
      <c r="D1249" s="23">
        <v>36866</v>
      </c>
    </row>
    <row r="1250" spans="1:4">
      <c r="A1250" t="s">
        <v>26</v>
      </c>
      <c r="B1250" t="s">
        <v>109</v>
      </c>
      <c r="C1250" s="22">
        <v>46122</v>
      </c>
      <c r="D1250" s="23">
        <v>18103</v>
      </c>
    </row>
    <row r="1251" spans="1:4">
      <c r="A1251" t="s">
        <v>25</v>
      </c>
      <c r="B1251" t="s">
        <v>274</v>
      </c>
      <c r="C1251" s="22">
        <v>46122</v>
      </c>
      <c r="D1251" s="23">
        <v>18439</v>
      </c>
    </row>
    <row r="1252" spans="1:4">
      <c r="A1252" t="s">
        <v>23</v>
      </c>
      <c r="B1252" t="s">
        <v>262</v>
      </c>
      <c r="C1252" s="22">
        <v>46122</v>
      </c>
      <c r="D1252" s="23">
        <v>24237</v>
      </c>
    </row>
    <row r="1253" spans="1:4">
      <c r="A1253" t="s">
        <v>29</v>
      </c>
      <c r="B1253" t="s">
        <v>176</v>
      </c>
      <c r="C1253" s="22">
        <v>46122</v>
      </c>
      <c r="D1253" s="23">
        <v>13447</v>
      </c>
    </row>
    <row r="1254" spans="1:4">
      <c r="A1254" t="s">
        <v>29</v>
      </c>
      <c r="B1254" t="s">
        <v>124</v>
      </c>
      <c r="C1254" s="22">
        <v>46122</v>
      </c>
      <c r="D1254" s="23">
        <v>28658</v>
      </c>
    </row>
    <row r="1255" spans="1:4">
      <c r="A1255" t="s">
        <v>22</v>
      </c>
      <c r="B1255" t="s">
        <v>268</v>
      </c>
      <c r="C1255" s="22">
        <v>46122</v>
      </c>
      <c r="D1255" s="23">
        <v>48546</v>
      </c>
    </row>
    <row r="1256" spans="1:4">
      <c r="A1256" t="s">
        <v>20</v>
      </c>
      <c r="B1256" t="s">
        <v>189</v>
      </c>
      <c r="C1256" s="22">
        <v>46122</v>
      </c>
      <c r="D1256" s="23">
        <v>29822</v>
      </c>
    </row>
    <row r="1257" spans="1:4">
      <c r="A1257" t="s">
        <v>20</v>
      </c>
      <c r="B1257" t="s">
        <v>215</v>
      </c>
      <c r="C1257" s="22">
        <v>46122</v>
      </c>
      <c r="D1257" s="23">
        <v>34179</v>
      </c>
    </row>
    <row r="1258" spans="1:4">
      <c r="A1258" t="s">
        <v>18</v>
      </c>
      <c r="B1258" t="s">
        <v>55</v>
      </c>
      <c r="C1258" s="22">
        <v>46122</v>
      </c>
      <c r="D1258" s="23">
        <v>45376</v>
      </c>
    </row>
    <row r="1259" spans="1:4">
      <c r="A1259" t="s">
        <v>18</v>
      </c>
      <c r="B1259" t="s">
        <v>144</v>
      </c>
      <c r="C1259" s="22">
        <v>46122</v>
      </c>
      <c r="D1259" s="23">
        <v>32403</v>
      </c>
    </row>
    <row r="1260" spans="1:4">
      <c r="A1260" t="s">
        <v>18</v>
      </c>
      <c r="B1260" t="s">
        <v>67</v>
      </c>
      <c r="C1260" s="22">
        <v>46122</v>
      </c>
      <c r="D1260" s="23">
        <v>37181</v>
      </c>
    </row>
    <row r="1261" spans="1:4">
      <c r="A1261" t="s">
        <v>18</v>
      </c>
      <c r="B1261" t="s">
        <v>84</v>
      </c>
      <c r="C1261" s="22">
        <v>46122</v>
      </c>
      <c r="D1261" s="23">
        <v>43342</v>
      </c>
    </row>
    <row r="1262" spans="1:4">
      <c r="A1262" t="s">
        <v>18</v>
      </c>
      <c r="B1262" t="s">
        <v>94</v>
      </c>
      <c r="C1262" s="22">
        <v>46122</v>
      </c>
      <c r="D1262" s="23">
        <v>55875</v>
      </c>
    </row>
    <row r="1263" spans="1:4">
      <c r="A1263" t="s">
        <v>18</v>
      </c>
      <c r="B1263" t="s">
        <v>117</v>
      </c>
      <c r="C1263" s="22">
        <v>46122</v>
      </c>
      <c r="D1263" s="23">
        <v>33105</v>
      </c>
    </row>
    <row r="1264" spans="1:4">
      <c r="A1264" t="s">
        <v>21</v>
      </c>
      <c r="B1264" t="s">
        <v>219</v>
      </c>
      <c r="C1264" s="22">
        <v>46123</v>
      </c>
      <c r="D1264" s="23">
        <v>28890</v>
      </c>
    </row>
    <row r="1265" spans="1:4">
      <c r="A1265" t="s">
        <v>21</v>
      </c>
      <c r="B1265" t="s">
        <v>71</v>
      </c>
      <c r="C1265" s="22">
        <v>46123</v>
      </c>
      <c r="D1265" s="23">
        <v>44351</v>
      </c>
    </row>
    <row r="1266" spans="1:4">
      <c r="A1266" t="s">
        <v>25</v>
      </c>
      <c r="B1266" t="s">
        <v>267</v>
      </c>
      <c r="C1266" s="22">
        <v>46123</v>
      </c>
      <c r="D1266" s="23">
        <v>19250</v>
      </c>
    </row>
    <row r="1267" spans="1:4">
      <c r="A1267" t="s">
        <v>23</v>
      </c>
      <c r="B1267" t="s">
        <v>63</v>
      </c>
      <c r="C1267" s="22">
        <v>46123</v>
      </c>
      <c r="D1267" s="23">
        <v>23566</v>
      </c>
    </row>
    <row r="1268" spans="1:4">
      <c r="A1268" t="s">
        <v>28</v>
      </c>
      <c r="B1268" t="s">
        <v>185</v>
      </c>
      <c r="C1268" s="22">
        <v>46124</v>
      </c>
      <c r="D1268" s="23">
        <v>30713</v>
      </c>
    </row>
    <row r="1269" spans="1:4">
      <c r="A1269" t="s">
        <v>28</v>
      </c>
      <c r="B1269" t="s">
        <v>225</v>
      </c>
      <c r="C1269" s="22">
        <v>46124</v>
      </c>
      <c r="D1269" s="23">
        <v>20615</v>
      </c>
    </row>
    <row r="1270" spans="1:4">
      <c r="A1270" t="s">
        <v>21</v>
      </c>
      <c r="B1270" t="s">
        <v>110</v>
      </c>
      <c r="C1270" s="22">
        <v>46124</v>
      </c>
      <c r="D1270" s="23">
        <v>30531</v>
      </c>
    </row>
    <row r="1271" spans="1:4">
      <c r="A1271" t="s">
        <v>21</v>
      </c>
      <c r="B1271" t="s">
        <v>246</v>
      </c>
      <c r="C1271" s="22">
        <v>46124</v>
      </c>
      <c r="D1271" s="23">
        <v>29148</v>
      </c>
    </row>
    <row r="1272" spans="1:4">
      <c r="A1272" t="s">
        <v>31</v>
      </c>
      <c r="B1272" t="s">
        <v>151</v>
      </c>
      <c r="C1272" s="22">
        <v>46124</v>
      </c>
      <c r="D1272" s="23">
        <v>16149</v>
      </c>
    </row>
    <row r="1273" spans="1:4">
      <c r="A1273" t="s">
        <v>27</v>
      </c>
      <c r="B1273" t="s">
        <v>100</v>
      </c>
      <c r="C1273" s="22">
        <v>46124</v>
      </c>
      <c r="D1273" s="23">
        <v>20416</v>
      </c>
    </row>
    <row r="1274" spans="1:4">
      <c r="A1274" t="s">
        <v>34</v>
      </c>
      <c r="B1274" t="s">
        <v>281</v>
      </c>
      <c r="C1274" s="22">
        <v>46124</v>
      </c>
      <c r="D1274" s="23">
        <v>10238</v>
      </c>
    </row>
    <row r="1275" spans="1:4">
      <c r="A1275" t="s">
        <v>23</v>
      </c>
      <c r="B1275" t="s">
        <v>77</v>
      </c>
      <c r="C1275" s="22">
        <v>46124</v>
      </c>
      <c r="D1275" s="23">
        <v>21481</v>
      </c>
    </row>
    <row r="1276" spans="1:4">
      <c r="A1276" t="s">
        <v>20</v>
      </c>
      <c r="B1276" t="s">
        <v>82</v>
      </c>
      <c r="C1276" s="22">
        <v>46124</v>
      </c>
      <c r="D1276" s="23">
        <v>33046</v>
      </c>
    </row>
    <row r="1277" spans="1:4">
      <c r="A1277" t="s">
        <v>18</v>
      </c>
      <c r="B1277" t="s">
        <v>102</v>
      </c>
      <c r="C1277" s="22">
        <v>46124</v>
      </c>
      <c r="D1277" s="23">
        <v>31060</v>
      </c>
    </row>
    <row r="1278" spans="1:4">
      <c r="A1278" t="s">
        <v>18</v>
      </c>
      <c r="B1278" t="s">
        <v>159</v>
      </c>
      <c r="C1278" s="22">
        <v>46124</v>
      </c>
      <c r="D1278" s="23">
        <v>37978</v>
      </c>
    </row>
    <row r="1279" spans="1:4">
      <c r="A1279" t="s">
        <v>18</v>
      </c>
      <c r="B1279" t="s">
        <v>159</v>
      </c>
      <c r="C1279" s="22">
        <v>46124</v>
      </c>
      <c r="D1279" s="23">
        <v>45293</v>
      </c>
    </row>
    <row r="1280" spans="1:4">
      <c r="A1280" t="s">
        <v>18</v>
      </c>
      <c r="B1280" t="s">
        <v>71</v>
      </c>
      <c r="C1280" s="22">
        <v>46124</v>
      </c>
      <c r="D1280" s="23">
        <v>34876</v>
      </c>
    </row>
    <row r="1281" spans="1:4">
      <c r="A1281" t="s">
        <v>18</v>
      </c>
      <c r="B1281" t="s">
        <v>86</v>
      </c>
      <c r="C1281" s="22">
        <v>46124</v>
      </c>
      <c r="D1281" s="23">
        <v>39560</v>
      </c>
    </row>
    <row r="1282" spans="1:4">
      <c r="A1282" t="s">
        <v>21</v>
      </c>
      <c r="B1282" t="s">
        <v>64</v>
      </c>
      <c r="C1282" s="22">
        <v>46125</v>
      </c>
      <c r="D1282" s="23">
        <v>47922</v>
      </c>
    </row>
    <row r="1283" spans="1:4">
      <c r="A1283" t="s">
        <v>21</v>
      </c>
      <c r="B1283" t="s">
        <v>237</v>
      </c>
      <c r="C1283" s="22">
        <v>46125</v>
      </c>
      <c r="D1283" s="23">
        <v>24110</v>
      </c>
    </row>
    <row r="1284" spans="1:4">
      <c r="A1284" t="s">
        <v>25</v>
      </c>
      <c r="B1284" t="s">
        <v>244</v>
      </c>
      <c r="C1284" s="22">
        <v>46125</v>
      </c>
      <c r="D1284" s="23">
        <v>22180</v>
      </c>
    </row>
    <row r="1285" spans="1:4">
      <c r="A1285" t="s">
        <v>35</v>
      </c>
      <c r="B1285" t="s">
        <v>122</v>
      </c>
      <c r="C1285" s="22">
        <v>46125</v>
      </c>
      <c r="D1285" s="23">
        <v>14206</v>
      </c>
    </row>
    <row r="1286" spans="1:4">
      <c r="A1286" t="s">
        <v>29</v>
      </c>
      <c r="B1286" t="s">
        <v>227</v>
      </c>
      <c r="C1286" s="22">
        <v>46125</v>
      </c>
      <c r="D1286" s="23">
        <v>13728</v>
      </c>
    </row>
    <row r="1287" spans="1:4">
      <c r="A1287" t="s">
        <v>22</v>
      </c>
      <c r="B1287" t="s">
        <v>248</v>
      </c>
      <c r="C1287" s="22">
        <v>46125</v>
      </c>
      <c r="D1287" s="23">
        <v>26228</v>
      </c>
    </row>
    <row r="1288" spans="1:4">
      <c r="A1288" t="s">
        <v>22</v>
      </c>
      <c r="B1288" t="s">
        <v>137</v>
      </c>
      <c r="C1288" s="22">
        <v>46125</v>
      </c>
      <c r="D1288" s="23">
        <v>26672</v>
      </c>
    </row>
    <row r="1289" spans="1:4">
      <c r="A1289" t="s">
        <v>20</v>
      </c>
      <c r="B1289" t="s">
        <v>126</v>
      </c>
      <c r="C1289" s="22">
        <v>46125</v>
      </c>
      <c r="D1289" s="23">
        <v>47292</v>
      </c>
    </row>
    <row r="1290" spans="1:4">
      <c r="A1290" t="s">
        <v>20</v>
      </c>
      <c r="B1290" t="s">
        <v>229</v>
      </c>
      <c r="C1290" s="22">
        <v>46125</v>
      </c>
      <c r="D1290" s="23">
        <v>35646</v>
      </c>
    </row>
    <row r="1291" spans="1:4">
      <c r="A1291" t="s">
        <v>20</v>
      </c>
      <c r="B1291" t="s">
        <v>165</v>
      </c>
      <c r="C1291" s="22">
        <v>46125</v>
      </c>
      <c r="D1291" s="23">
        <v>43031</v>
      </c>
    </row>
    <row r="1292" spans="1:4">
      <c r="A1292" t="s">
        <v>18</v>
      </c>
      <c r="B1292" t="s">
        <v>105</v>
      </c>
      <c r="C1292" s="22">
        <v>46125</v>
      </c>
      <c r="D1292" s="23">
        <v>35036</v>
      </c>
    </row>
    <row r="1293" spans="1:4">
      <c r="A1293" t="s">
        <v>18</v>
      </c>
      <c r="B1293" t="s">
        <v>93</v>
      </c>
      <c r="C1293" s="22">
        <v>46125</v>
      </c>
      <c r="D1293" s="23">
        <v>54367</v>
      </c>
    </row>
    <row r="1294" spans="1:4">
      <c r="A1294" t="s">
        <v>18</v>
      </c>
      <c r="B1294" t="s">
        <v>95</v>
      </c>
      <c r="C1294" s="22">
        <v>46125</v>
      </c>
      <c r="D1294" s="23">
        <v>57338</v>
      </c>
    </row>
    <row r="1295" spans="1:4">
      <c r="A1295" t="s">
        <v>18</v>
      </c>
      <c r="B1295" t="s">
        <v>96</v>
      </c>
      <c r="C1295" s="22">
        <v>46125</v>
      </c>
      <c r="D1295" s="23">
        <v>39268</v>
      </c>
    </row>
    <row r="1296" spans="1:4">
      <c r="A1296" t="s">
        <v>28</v>
      </c>
      <c r="B1296" t="s">
        <v>216</v>
      </c>
      <c r="C1296" s="22">
        <v>46126</v>
      </c>
      <c r="D1296" s="23">
        <v>15482</v>
      </c>
    </row>
    <row r="1297" spans="1:4">
      <c r="A1297" t="s">
        <v>28</v>
      </c>
      <c r="B1297" t="s">
        <v>218</v>
      </c>
      <c r="C1297" s="22">
        <v>46126</v>
      </c>
      <c r="D1297" s="23">
        <v>21389</v>
      </c>
    </row>
    <row r="1298" spans="1:4">
      <c r="A1298" t="s">
        <v>25</v>
      </c>
      <c r="B1298" t="s">
        <v>211</v>
      </c>
      <c r="C1298" s="22">
        <v>46126</v>
      </c>
      <c r="D1298" s="23">
        <v>18212</v>
      </c>
    </row>
    <row r="1299" spans="1:4">
      <c r="A1299" t="s">
        <v>25</v>
      </c>
      <c r="B1299" t="s">
        <v>113</v>
      </c>
      <c r="C1299" s="22">
        <v>46126</v>
      </c>
      <c r="D1299" s="23">
        <v>19227</v>
      </c>
    </row>
    <row r="1300" spans="1:4">
      <c r="A1300" t="s">
        <v>35</v>
      </c>
      <c r="B1300" t="s">
        <v>123</v>
      </c>
      <c r="C1300" s="22">
        <v>46126</v>
      </c>
      <c r="D1300" s="23">
        <v>13973</v>
      </c>
    </row>
    <row r="1301" spans="1:4">
      <c r="A1301" t="s">
        <v>22</v>
      </c>
      <c r="B1301" t="s">
        <v>231</v>
      </c>
      <c r="C1301" s="22">
        <v>46126</v>
      </c>
      <c r="D1301" s="23">
        <v>25820</v>
      </c>
    </row>
    <row r="1302" spans="1:4">
      <c r="A1302" t="s">
        <v>22</v>
      </c>
      <c r="B1302" t="s">
        <v>143</v>
      </c>
      <c r="C1302" s="22">
        <v>46126</v>
      </c>
      <c r="D1302" s="23">
        <v>26217</v>
      </c>
    </row>
    <row r="1303" spans="1:4">
      <c r="A1303" t="s">
        <v>20</v>
      </c>
      <c r="B1303" t="s">
        <v>103</v>
      </c>
      <c r="C1303" s="22">
        <v>46126</v>
      </c>
      <c r="D1303" s="23">
        <v>40992</v>
      </c>
    </row>
    <row r="1304" spans="1:4">
      <c r="A1304" t="s">
        <v>20</v>
      </c>
      <c r="B1304" t="s">
        <v>215</v>
      </c>
      <c r="C1304" s="22">
        <v>46126</v>
      </c>
      <c r="D1304" s="23">
        <v>22781</v>
      </c>
    </row>
    <row r="1305" spans="1:4">
      <c r="A1305" t="s">
        <v>20</v>
      </c>
      <c r="B1305" t="s">
        <v>83</v>
      </c>
      <c r="C1305" s="22">
        <v>46126</v>
      </c>
      <c r="D1305" s="23">
        <v>26602</v>
      </c>
    </row>
    <row r="1306" spans="1:4">
      <c r="A1306" t="s">
        <v>20</v>
      </c>
      <c r="B1306" t="s">
        <v>265</v>
      </c>
      <c r="C1306" s="22">
        <v>46126</v>
      </c>
      <c r="D1306" s="23">
        <v>38148</v>
      </c>
    </row>
    <row r="1307" spans="1:4">
      <c r="A1307" t="s">
        <v>20</v>
      </c>
      <c r="B1307" t="s">
        <v>91</v>
      </c>
      <c r="C1307" s="22">
        <v>46126</v>
      </c>
      <c r="D1307" s="23">
        <v>37397</v>
      </c>
    </row>
    <row r="1308" spans="1:4">
      <c r="A1308" t="s">
        <v>18</v>
      </c>
      <c r="B1308" t="s">
        <v>68</v>
      </c>
      <c r="C1308" s="22">
        <v>46126</v>
      </c>
      <c r="D1308" s="23">
        <v>36073</v>
      </c>
    </row>
    <row r="1309" spans="1:4">
      <c r="A1309" t="s">
        <v>18</v>
      </c>
      <c r="B1309" t="s">
        <v>117</v>
      </c>
      <c r="C1309" s="22">
        <v>46126</v>
      </c>
      <c r="D1309" s="23">
        <v>38448</v>
      </c>
    </row>
    <row r="1310" spans="1:4">
      <c r="A1310" t="s">
        <v>18</v>
      </c>
      <c r="B1310" t="s">
        <v>208</v>
      </c>
      <c r="C1310" s="22">
        <v>46126</v>
      </c>
      <c r="D1310" s="23">
        <v>50742</v>
      </c>
    </row>
    <row r="1311" spans="1:4">
      <c r="A1311" t="s">
        <v>18</v>
      </c>
      <c r="B1311" t="s">
        <v>138</v>
      </c>
      <c r="C1311" s="22">
        <v>46126</v>
      </c>
      <c r="D1311" s="23">
        <v>38776</v>
      </c>
    </row>
    <row r="1312" spans="1:4">
      <c r="A1312" t="s">
        <v>18</v>
      </c>
      <c r="B1312" t="s">
        <v>108</v>
      </c>
      <c r="C1312" s="22">
        <v>46126</v>
      </c>
      <c r="D1312" s="23">
        <v>34927</v>
      </c>
    </row>
    <row r="1313" spans="1:4">
      <c r="A1313" t="s">
        <v>28</v>
      </c>
      <c r="B1313" t="s">
        <v>235</v>
      </c>
      <c r="C1313" s="22">
        <v>46127</v>
      </c>
      <c r="D1313" s="23">
        <v>18838</v>
      </c>
    </row>
    <row r="1314" spans="1:4">
      <c r="A1314" t="s">
        <v>33</v>
      </c>
      <c r="B1314" t="s">
        <v>154</v>
      </c>
      <c r="C1314" s="22">
        <v>46127</v>
      </c>
      <c r="D1314" s="23">
        <v>10796</v>
      </c>
    </row>
    <row r="1315" spans="1:4">
      <c r="A1315" t="s">
        <v>26</v>
      </c>
      <c r="B1315" t="s">
        <v>150</v>
      </c>
      <c r="C1315" s="22">
        <v>46127</v>
      </c>
      <c r="D1315" s="23">
        <v>15324</v>
      </c>
    </row>
    <row r="1316" spans="1:4">
      <c r="A1316" t="s">
        <v>27</v>
      </c>
      <c r="B1316" t="s">
        <v>279</v>
      </c>
      <c r="C1316" s="22">
        <v>46127</v>
      </c>
      <c r="D1316" s="23">
        <v>17555</v>
      </c>
    </row>
    <row r="1317" spans="1:4">
      <c r="A1317" t="s">
        <v>27</v>
      </c>
      <c r="B1317" t="s">
        <v>275</v>
      </c>
      <c r="C1317" s="22">
        <v>46127</v>
      </c>
      <c r="D1317" s="23">
        <v>17680</v>
      </c>
    </row>
    <row r="1318" spans="1:4">
      <c r="A1318" t="s">
        <v>25</v>
      </c>
      <c r="B1318" t="s">
        <v>181</v>
      </c>
      <c r="C1318" s="22">
        <v>46127</v>
      </c>
      <c r="D1318" s="23">
        <v>18801</v>
      </c>
    </row>
    <row r="1319" spans="1:4">
      <c r="A1319" t="s">
        <v>22</v>
      </c>
      <c r="B1319" t="s">
        <v>135</v>
      </c>
      <c r="C1319" s="22">
        <v>46127</v>
      </c>
      <c r="D1319" s="23">
        <v>27379</v>
      </c>
    </row>
    <row r="1320" spans="1:4">
      <c r="A1320" t="s">
        <v>20</v>
      </c>
      <c r="B1320" t="s">
        <v>207</v>
      </c>
      <c r="C1320" s="22">
        <v>46127</v>
      </c>
      <c r="D1320" s="23">
        <v>35113</v>
      </c>
    </row>
    <row r="1321" spans="1:4">
      <c r="A1321" t="s">
        <v>20</v>
      </c>
      <c r="B1321" t="s">
        <v>161</v>
      </c>
      <c r="C1321" s="22">
        <v>46127</v>
      </c>
      <c r="D1321" s="23">
        <v>25151</v>
      </c>
    </row>
    <row r="1322" spans="1:4">
      <c r="A1322" t="s">
        <v>20</v>
      </c>
      <c r="B1322" t="s">
        <v>265</v>
      </c>
      <c r="C1322" s="22">
        <v>46127</v>
      </c>
      <c r="D1322" s="23">
        <v>42012</v>
      </c>
    </row>
    <row r="1323" spans="1:4">
      <c r="A1323" t="s">
        <v>18</v>
      </c>
      <c r="B1323" t="s">
        <v>66</v>
      </c>
      <c r="C1323" s="22">
        <v>46127</v>
      </c>
      <c r="D1323" s="23">
        <v>27036</v>
      </c>
    </row>
    <row r="1324" spans="1:4">
      <c r="A1324" t="s">
        <v>18</v>
      </c>
      <c r="B1324" t="s">
        <v>94</v>
      </c>
      <c r="C1324" s="22">
        <v>46127</v>
      </c>
      <c r="D1324" s="23">
        <v>52454</v>
      </c>
    </row>
    <row r="1325" spans="1:4">
      <c r="A1325" t="s">
        <v>18</v>
      </c>
      <c r="B1325" t="s">
        <v>171</v>
      </c>
      <c r="C1325" s="22">
        <v>46127</v>
      </c>
      <c r="D1325" s="23">
        <v>41542</v>
      </c>
    </row>
    <row r="1326" spans="1:4">
      <c r="A1326" t="s">
        <v>18</v>
      </c>
      <c r="B1326" t="s">
        <v>69</v>
      </c>
      <c r="C1326" s="22">
        <v>46127</v>
      </c>
      <c r="D1326" s="23">
        <v>35200</v>
      </c>
    </row>
    <row r="1327" spans="1:4">
      <c r="A1327" t="s">
        <v>18</v>
      </c>
      <c r="B1327" t="s">
        <v>86</v>
      </c>
      <c r="C1327" s="22">
        <v>46127</v>
      </c>
      <c r="D1327" s="23">
        <v>30692</v>
      </c>
    </row>
    <row r="1328" spans="1:4">
      <c r="A1328" t="s">
        <v>18</v>
      </c>
      <c r="B1328" t="s">
        <v>138</v>
      </c>
      <c r="C1328" s="22">
        <v>46127</v>
      </c>
      <c r="D1328" s="23">
        <v>35300</v>
      </c>
    </row>
    <row r="1329" spans="1:4">
      <c r="A1329" t="s">
        <v>28</v>
      </c>
      <c r="B1329" t="s">
        <v>217</v>
      </c>
      <c r="C1329" s="22">
        <v>46128</v>
      </c>
      <c r="D1329" s="23">
        <v>18001</v>
      </c>
    </row>
    <row r="1330" spans="1:4">
      <c r="A1330" t="s">
        <v>21</v>
      </c>
      <c r="B1330" t="s">
        <v>252</v>
      </c>
      <c r="C1330" s="22">
        <v>46128</v>
      </c>
      <c r="D1330" s="23">
        <v>34066</v>
      </c>
    </row>
    <row r="1331" spans="1:4">
      <c r="A1331" t="s">
        <v>21</v>
      </c>
      <c r="B1331" t="s">
        <v>140</v>
      </c>
      <c r="C1331" s="22">
        <v>46128</v>
      </c>
      <c r="D1331" s="23">
        <v>37116</v>
      </c>
    </row>
    <row r="1332" spans="1:4">
      <c r="A1332" t="s">
        <v>26</v>
      </c>
      <c r="B1332" t="s">
        <v>48</v>
      </c>
      <c r="C1332" s="22">
        <v>46128</v>
      </c>
      <c r="D1332" s="23">
        <v>19660</v>
      </c>
    </row>
    <row r="1333" spans="1:4">
      <c r="A1333" t="s">
        <v>26</v>
      </c>
      <c r="B1333" t="s">
        <v>263</v>
      </c>
      <c r="C1333" s="22">
        <v>46128</v>
      </c>
      <c r="D1333" s="23">
        <v>19298</v>
      </c>
    </row>
    <row r="1334" spans="1:4">
      <c r="A1334" t="s">
        <v>27</v>
      </c>
      <c r="B1334" t="s">
        <v>152</v>
      </c>
      <c r="C1334" s="22">
        <v>46128</v>
      </c>
      <c r="D1334" s="23">
        <v>19550</v>
      </c>
    </row>
    <row r="1335" spans="1:4">
      <c r="A1335" t="s">
        <v>20</v>
      </c>
      <c r="B1335" t="s">
        <v>206</v>
      </c>
      <c r="C1335" s="22">
        <v>46128</v>
      </c>
      <c r="D1335" s="23">
        <v>26040</v>
      </c>
    </row>
    <row r="1336" spans="1:4">
      <c r="A1336" t="s">
        <v>20</v>
      </c>
      <c r="B1336" t="s">
        <v>102</v>
      </c>
      <c r="C1336" s="22">
        <v>46128</v>
      </c>
      <c r="D1336" s="23">
        <v>25831</v>
      </c>
    </row>
    <row r="1337" spans="1:4">
      <c r="A1337" t="s">
        <v>20</v>
      </c>
      <c r="B1337" t="s">
        <v>169</v>
      </c>
      <c r="C1337" s="22">
        <v>46128</v>
      </c>
      <c r="D1337" s="23">
        <v>34626</v>
      </c>
    </row>
    <row r="1338" spans="1:4">
      <c r="A1338" t="s">
        <v>20</v>
      </c>
      <c r="B1338" t="s">
        <v>230</v>
      </c>
      <c r="C1338" s="22">
        <v>46128</v>
      </c>
      <c r="D1338" s="23">
        <v>36076</v>
      </c>
    </row>
    <row r="1339" spans="1:4">
      <c r="A1339" t="s">
        <v>20</v>
      </c>
      <c r="B1339" t="s">
        <v>91</v>
      </c>
      <c r="C1339" s="22">
        <v>46128</v>
      </c>
      <c r="D1339" s="23">
        <v>34743</v>
      </c>
    </row>
    <row r="1340" spans="1:4">
      <c r="A1340" t="s">
        <v>18</v>
      </c>
      <c r="B1340" t="s">
        <v>66</v>
      </c>
      <c r="C1340" s="22">
        <v>46128</v>
      </c>
      <c r="D1340" s="23">
        <v>30735</v>
      </c>
    </row>
    <row r="1341" spans="1:4">
      <c r="A1341" t="s">
        <v>18</v>
      </c>
      <c r="B1341" t="s">
        <v>56</v>
      </c>
      <c r="C1341" s="22">
        <v>46128</v>
      </c>
      <c r="D1341" s="23">
        <v>36266</v>
      </c>
    </row>
    <row r="1342" spans="1:4">
      <c r="A1342" t="s">
        <v>18</v>
      </c>
      <c r="B1342" t="s">
        <v>85</v>
      </c>
      <c r="C1342" s="22">
        <v>46128</v>
      </c>
      <c r="D1342" s="23">
        <v>39483</v>
      </c>
    </row>
    <row r="1343" spans="1:4">
      <c r="A1343" t="s">
        <v>18</v>
      </c>
      <c r="B1343" t="s">
        <v>162</v>
      </c>
      <c r="C1343" s="22">
        <v>46128</v>
      </c>
      <c r="D1343" s="23">
        <v>46624</v>
      </c>
    </row>
    <row r="1344" spans="1:4">
      <c r="A1344" t="s">
        <v>18</v>
      </c>
      <c r="B1344" t="s">
        <v>173</v>
      </c>
      <c r="C1344" s="22">
        <v>46128</v>
      </c>
      <c r="D1344" s="23">
        <v>29895</v>
      </c>
    </row>
    <row r="1345" spans="1:4">
      <c r="A1345" t="s">
        <v>18</v>
      </c>
      <c r="B1345" t="s">
        <v>214</v>
      </c>
      <c r="C1345" s="22">
        <v>46128</v>
      </c>
      <c r="D1345" s="23">
        <v>22433</v>
      </c>
    </row>
    <row r="1346" spans="1:4">
      <c r="A1346" t="s">
        <v>39</v>
      </c>
      <c r="B1346" t="s">
        <v>74</v>
      </c>
      <c r="C1346" s="22">
        <v>46129</v>
      </c>
      <c r="D1346" s="23">
        <v>6877</v>
      </c>
    </row>
    <row r="1347" spans="1:4">
      <c r="A1347" t="s">
        <v>21</v>
      </c>
      <c r="B1347" t="s">
        <v>130</v>
      </c>
      <c r="C1347" s="22">
        <v>46129</v>
      </c>
      <c r="D1347" s="23">
        <v>25284</v>
      </c>
    </row>
    <row r="1348" spans="1:4">
      <c r="A1348" t="s">
        <v>40</v>
      </c>
      <c r="B1348" t="s">
        <v>88</v>
      </c>
      <c r="C1348" s="22">
        <v>46129</v>
      </c>
      <c r="D1348" s="23">
        <v>20675</v>
      </c>
    </row>
    <row r="1349" spans="1:4">
      <c r="A1349" t="s">
        <v>27</v>
      </c>
      <c r="B1349" t="s">
        <v>247</v>
      </c>
      <c r="C1349" s="22">
        <v>46129</v>
      </c>
      <c r="D1349" s="23">
        <v>14449</v>
      </c>
    </row>
    <row r="1350" spans="1:4">
      <c r="A1350" t="s">
        <v>25</v>
      </c>
      <c r="B1350" t="s">
        <v>132</v>
      </c>
      <c r="C1350" s="22">
        <v>46129</v>
      </c>
      <c r="D1350" s="23">
        <v>21202</v>
      </c>
    </row>
    <row r="1351" spans="1:4">
      <c r="A1351" t="s">
        <v>23</v>
      </c>
      <c r="B1351" t="s">
        <v>114</v>
      </c>
      <c r="C1351" s="22">
        <v>46129</v>
      </c>
      <c r="D1351" s="23">
        <v>21332</v>
      </c>
    </row>
    <row r="1352" spans="1:4">
      <c r="A1352" t="s">
        <v>29</v>
      </c>
      <c r="B1352" t="s">
        <v>79</v>
      </c>
      <c r="C1352" s="22">
        <v>46129</v>
      </c>
      <c r="D1352" s="23">
        <v>16288</v>
      </c>
    </row>
    <row r="1353" spans="1:4">
      <c r="A1353" t="s">
        <v>20</v>
      </c>
      <c r="B1353" t="s">
        <v>239</v>
      </c>
      <c r="C1353" s="22">
        <v>46129</v>
      </c>
      <c r="D1353" s="23">
        <v>26647</v>
      </c>
    </row>
    <row r="1354" spans="1:4">
      <c r="A1354" t="s">
        <v>18</v>
      </c>
      <c r="B1354" t="s">
        <v>64</v>
      </c>
      <c r="C1354" s="22">
        <v>46129</v>
      </c>
      <c r="D1354" s="23">
        <v>46846</v>
      </c>
    </row>
    <row r="1355" spans="1:4">
      <c r="A1355" t="s">
        <v>18</v>
      </c>
      <c r="B1355" t="s">
        <v>118</v>
      </c>
      <c r="C1355" s="22">
        <v>46129</v>
      </c>
      <c r="D1355" s="23">
        <v>41715</v>
      </c>
    </row>
    <row r="1356" spans="1:4">
      <c r="A1356" t="s">
        <v>18</v>
      </c>
      <c r="B1356" t="s">
        <v>97</v>
      </c>
      <c r="C1356" s="22">
        <v>46129</v>
      </c>
      <c r="D1356" s="23">
        <v>42383</v>
      </c>
    </row>
    <row r="1357" spans="1:4">
      <c r="A1357" t="s">
        <v>31</v>
      </c>
      <c r="B1357" t="s">
        <v>222</v>
      </c>
      <c r="C1357" s="22">
        <v>46130</v>
      </c>
      <c r="D1357" s="23">
        <v>13029</v>
      </c>
    </row>
    <row r="1358" spans="1:4">
      <c r="A1358" t="s">
        <v>27</v>
      </c>
      <c r="B1358" t="s">
        <v>76</v>
      </c>
      <c r="C1358" s="22">
        <v>46130</v>
      </c>
      <c r="D1358" s="23">
        <v>26165</v>
      </c>
    </row>
    <row r="1359" spans="1:4">
      <c r="A1359" t="s">
        <v>27</v>
      </c>
      <c r="B1359" t="s">
        <v>155</v>
      </c>
      <c r="C1359" s="22">
        <v>46130</v>
      </c>
      <c r="D1359" s="23">
        <v>16731</v>
      </c>
    </row>
    <row r="1360" spans="1:4">
      <c r="A1360" t="s">
        <v>23</v>
      </c>
      <c r="B1360" t="s">
        <v>182</v>
      </c>
      <c r="C1360" s="22">
        <v>46130</v>
      </c>
      <c r="D1360" s="23">
        <v>23957</v>
      </c>
    </row>
    <row r="1361" spans="1:4">
      <c r="A1361" t="s">
        <v>22</v>
      </c>
      <c r="B1361" t="s">
        <v>52</v>
      </c>
      <c r="C1361" s="22">
        <v>46130</v>
      </c>
      <c r="D1361" s="23">
        <v>12890</v>
      </c>
    </row>
    <row r="1362" spans="1:4">
      <c r="A1362" t="s">
        <v>22</v>
      </c>
      <c r="B1362" t="s">
        <v>184</v>
      </c>
      <c r="C1362" s="22">
        <v>46130</v>
      </c>
      <c r="D1362" s="23">
        <v>26977</v>
      </c>
    </row>
    <row r="1363" spans="1:4">
      <c r="A1363" t="s">
        <v>20</v>
      </c>
      <c r="B1363" t="s">
        <v>89</v>
      </c>
      <c r="C1363" s="22">
        <v>46130</v>
      </c>
      <c r="D1363" s="23">
        <v>30130</v>
      </c>
    </row>
    <row r="1364" spans="1:4">
      <c r="A1364" t="s">
        <v>20</v>
      </c>
      <c r="B1364" t="s">
        <v>170</v>
      </c>
      <c r="C1364" s="22">
        <v>46130</v>
      </c>
      <c r="D1364" s="23">
        <v>43996</v>
      </c>
    </row>
    <row r="1365" spans="1:4">
      <c r="A1365" t="s">
        <v>18</v>
      </c>
      <c r="B1365" t="s">
        <v>58</v>
      </c>
      <c r="C1365" s="22">
        <v>46130</v>
      </c>
      <c r="D1365" s="23">
        <v>48173</v>
      </c>
    </row>
    <row r="1366" spans="1:4">
      <c r="A1366" t="s">
        <v>18</v>
      </c>
      <c r="B1366" t="s">
        <v>208</v>
      </c>
      <c r="C1366" s="22">
        <v>46130</v>
      </c>
      <c r="D1366" s="23">
        <v>54159</v>
      </c>
    </row>
    <row r="1367" spans="1:4">
      <c r="A1367" t="s">
        <v>28</v>
      </c>
      <c r="B1367" t="s">
        <v>201</v>
      </c>
      <c r="C1367" s="22">
        <v>46131</v>
      </c>
      <c r="D1367" s="23">
        <v>15482</v>
      </c>
    </row>
    <row r="1368" spans="1:4">
      <c r="A1368" t="s">
        <v>21</v>
      </c>
      <c r="B1368" t="s">
        <v>277</v>
      </c>
      <c r="C1368" s="22">
        <v>46131</v>
      </c>
      <c r="D1368" s="23">
        <v>23598</v>
      </c>
    </row>
    <row r="1369" spans="1:4">
      <c r="A1369" t="s">
        <v>21</v>
      </c>
      <c r="B1369" t="s">
        <v>209</v>
      </c>
      <c r="C1369" s="22">
        <v>46131</v>
      </c>
      <c r="D1369" s="23">
        <v>38517</v>
      </c>
    </row>
    <row r="1370" spans="1:4">
      <c r="A1370" t="s">
        <v>36</v>
      </c>
      <c r="B1370" t="s">
        <v>121</v>
      </c>
      <c r="C1370" s="22">
        <v>46131</v>
      </c>
      <c r="D1370" s="23">
        <v>9469</v>
      </c>
    </row>
    <row r="1371" spans="1:4">
      <c r="A1371" t="s">
        <v>23</v>
      </c>
      <c r="B1371" t="s">
        <v>204</v>
      </c>
      <c r="C1371" s="22">
        <v>46131</v>
      </c>
      <c r="D1371" s="23">
        <v>38902</v>
      </c>
    </row>
    <row r="1372" spans="1:4">
      <c r="A1372" t="s">
        <v>22</v>
      </c>
      <c r="B1372" t="s">
        <v>136</v>
      </c>
      <c r="C1372" s="22">
        <v>46131</v>
      </c>
      <c r="D1372" s="23">
        <v>29101</v>
      </c>
    </row>
    <row r="1373" spans="1:4">
      <c r="A1373" t="s">
        <v>22</v>
      </c>
      <c r="B1373" t="s">
        <v>167</v>
      </c>
      <c r="C1373" s="22">
        <v>46131</v>
      </c>
      <c r="D1373" s="23">
        <v>24697</v>
      </c>
    </row>
    <row r="1374" spans="1:4">
      <c r="A1374" t="s">
        <v>22</v>
      </c>
      <c r="B1374" t="s">
        <v>183</v>
      </c>
      <c r="C1374" s="22">
        <v>46131</v>
      </c>
      <c r="D1374" s="23">
        <v>19748</v>
      </c>
    </row>
    <row r="1375" spans="1:4">
      <c r="A1375" t="s">
        <v>20</v>
      </c>
      <c r="B1375" t="s">
        <v>136</v>
      </c>
      <c r="C1375" s="22">
        <v>46131</v>
      </c>
      <c r="D1375" s="23">
        <v>32231</v>
      </c>
    </row>
    <row r="1376" spans="1:4">
      <c r="A1376" t="s">
        <v>20</v>
      </c>
      <c r="B1376" t="s">
        <v>115</v>
      </c>
      <c r="C1376" s="22">
        <v>46131</v>
      </c>
      <c r="D1376" s="23">
        <v>37837</v>
      </c>
    </row>
    <row r="1377" spans="1:4">
      <c r="A1377" t="s">
        <v>20</v>
      </c>
      <c r="B1377" t="s">
        <v>82</v>
      </c>
      <c r="C1377" s="22">
        <v>46131</v>
      </c>
      <c r="D1377" s="23">
        <v>34064</v>
      </c>
    </row>
    <row r="1378" spans="1:4">
      <c r="A1378" t="s">
        <v>18</v>
      </c>
      <c r="B1378" t="s">
        <v>53</v>
      </c>
      <c r="C1378" s="22">
        <v>46131</v>
      </c>
      <c r="D1378" s="23">
        <v>31193</v>
      </c>
    </row>
    <row r="1379" spans="1:4">
      <c r="A1379" t="s">
        <v>18</v>
      </c>
      <c r="B1379" t="s">
        <v>224</v>
      </c>
      <c r="C1379" s="22">
        <v>46131</v>
      </c>
      <c r="D1379" s="23">
        <v>55849</v>
      </c>
    </row>
    <row r="1380" spans="1:4">
      <c r="A1380" t="s">
        <v>21</v>
      </c>
      <c r="B1380" t="s">
        <v>259</v>
      </c>
      <c r="C1380" s="22">
        <v>46132</v>
      </c>
      <c r="D1380" s="23">
        <v>28066</v>
      </c>
    </row>
    <row r="1381" spans="1:4">
      <c r="A1381" t="s">
        <v>21</v>
      </c>
      <c r="B1381" t="s">
        <v>98</v>
      </c>
      <c r="C1381" s="22">
        <v>46132</v>
      </c>
      <c r="D1381" s="23">
        <v>36060</v>
      </c>
    </row>
    <row r="1382" spans="1:4">
      <c r="A1382" t="s">
        <v>25</v>
      </c>
      <c r="B1382" t="s">
        <v>180</v>
      </c>
      <c r="C1382" s="22">
        <v>46132</v>
      </c>
      <c r="D1382" s="23">
        <v>5439</v>
      </c>
    </row>
    <row r="1383" spans="1:4">
      <c r="A1383" t="s">
        <v>23</v>
      </c>
      <c r="B1383" t="s">
        <v>234</v>
      </c>
      <c r="C1383" s="22">
        <v>46132</v>
      </c>
      <c r="D1383" s="23">
        <v>31573</v>
      </c>
    </row>
    <row r="1384" spans="1:4">
      <c r="A1384" t="s">
        <v>20</v>
      </c>
      <c r="B1384" t="s">
        <v>272</v>
      </c>
      <c r="C1384" s="22">
        <v>46132</v>
      </c>
      <c r="D1384" s="23">
        <v>32689</v>
      </c>
    </row>
    <row r="1385" spans="1:4">
      <c r="A1385" t="s">
        <v>20</v>
      </c>
      <c r="B1385" t="s">
        <v>158</v>
      </c>
      <c r="C1385" s="22">
        <v>46132</v>
      </c>
      <c r="D1385" s="23">
        <v>32986</v>
      </c>
    </row>
    <row r="1386" spans="1:4">
      <c r="A1386" t="s">
        <v>18</v>
      </c>
      <c r="B1386" t="s">
        <v>239</v>
      </c>
      <c r="C1386" s="22">
        <v>46132</v>
      </c>
      <c r="D1386" s="23">
        <v>26311</v>
      </c>
    </row>
    <row r="1387" spans="1:4">
      <c r="A1387" t="s">
        <v>18</v>
      </c>
      <c r="B1387" t="s">
        <v>57</v>
      </c>
      <c r="C1387" s="22">
        <v>46132</v>
      </c>
      <c r="D1387" s="23">
        <v>38570</v>
      </c>
    </row>
    <row r="1388" spans="1:4">
      <c r="A1388" t="s">
        <v>18</v>
      </c>
      <c r="B1388" t="s">
        <v>172</v>
      </c>
      <c r="C1388" s="22">
        <v>46132</v>
      </c>
      <c r="D1388" s="23">
        <v>36999</v>
      </c>
    </row>
    <row r="1389" spans="1:4">
      <c r="A1389" t="s">
        <v>18</v>
      </c>
      <c r="B1389" t="s">
        <v>173</v>
      </c>
      <c r="C1389" s="22">
        <v>46132</v>
      </c>
      <c r="D1389" s="23">
        <v>37663</v>
      </c>
    </row>
    <row r="1390" spans="1:4">
      <c r="A1390" t="s">
        <v>18</v>
      </c>
      <c r="B1390" t="s">
        <v>108</v>
      </c>
      <c r="C1390" s="22">
        <v>46132</v>
      </c>
      <c r="D1390" s="23">
        <v>27737</v>
      </c>
    </row>
    <row r="1391" spans="1:4">
      <c r="A1391" t="s">
        <v>27</v>
      </c>
      <c r="B1391" t="s">
        <v>266</v>
      </c>
      <c r="C1391" s="22">
        <v>46133</v>
      </c>
      <c r="D1391" s="23">
        <v>5200</v>
      </c>
    </row>
    <row r="1392" spans="1:4">
      <c r="A1392" t="s">
        <v>32</v>
      </c>
      <c r="B1392" t="s">
        <v>205</v>
      </c>
      <c r="C1392" s="22">
        <v>46133</v>
      </c>
      <c r="D1392" s="23">
        <v>25413</v>
      </c>
    </row>
    <row r="1393" spans="1:4">
      <c r="A1393" t="s">
        <v>36</v>
      </c>
      <c r="B1393" t="s">
        <v>101</v>
      </c>
      <c r="C1393" s="22">
        <v>46133</v>
      </c>
      <c r="D1393" s="23">
        <v>21374</v>
      </c>
    </row>
    <row r="1394" spans="1:4">
      <c r="A1394" t="s">
        <v>23</v>
      </c>
      <c r="B1394" t="s">
        <v>63</v>
      </c>
      <c r="C1394" s="22">
        <v>46133</v>
      </c>
      <c r="D1394" s="23">
        <v>25312</v>
      </c>
    </row>
    <row r="1395" spans="1:4">
      <c r="A1395" t="s">
        <v>35</v>
      </c>
      <c r="B1395" t="s">
        <v>196</v>
      </c>
      <c r="C1395" s="22">
        <v>46133</v>
      </c>
      <c r="D1395" s="23">
        <v>14500</v>
      </c>
    </row>
    <row r="1396" spans="1:4">
      <c r="A1396" t="s">
        <v>20</v>
      </c>
      <c r="B1396" t="s">
        <v>197</v>
      </c>
      <c r="C1396" s="22">
        <v>46133</v>
      </c>
      <c r="D1396" s="23">
        <v>49175</v>
      </c>
    </row>
    <row r="1397" spans="1:4">
      <c r="A1397" t="s">
        <v>20</v>
      </c>
      <c r="B1397" t="s">
        <v>115</v>
      </c>
      <c r="C1397" s="22">
        <v>46133</v>
      </c>
      <c r="D1397" s="23">
        <v>38544</v>
      </c>
    </row>
    <row r="1398" spans="1:4">
      <c r="A1398" t="s">
        <v>20</v>
      </c>
      <c r="B1398" t="s">
        <v>145</v>
      </c>
      <c r="C1398" s="22">
        <v>46133</v>
      </c>
      <c r="D1398" s="23">
        <v>37174</v>
      </c>
    </row>
    <row r="1399" spans="1:4">
      <c r="A1399" t="s">
        <v>20</v>
      </c>
      <c r="B1399" t="s">
        <v>161</v>
      </c>
      <c r="C1399" s="22">
        <v>46133</v>
      </c>
      <c r="D1399" s="23">
        <v>27255</v>
      </c>
    </row>
    <row r="1400" spans="1:4">
      <c r="A1400" t="s">
        <v>20</v>
      </c>
      <c r="B1400" t="s">
        <v>161</v>
      </c>
      <c r="C1400" s="22">
        <v>46133</v>
      </c>
      <c r="D1400" s="23">
        <v>38945</v>
      </c>
    </row>
    <row r="1401" spans="1:4">
      <c r="A1401" t="s">
        <v>20</v>
      </c>
      <c r="B1401" t="s">
        <v>129</v>
      </c>
      <c r="C1401" s="22">
        <v>46133</v>
      </c>
      <c r="D1401" s="23">
        <v>36951</v>
      </c>
    </row>
    <row r="1402" spans="1:4">
      <c r="A1402" t="s">
        <v>20</v>
      </c>
      <c r="B1402" t="s">
        <v>199</v>
      </c>
      <c r="C1402" s="22">
        <v>46133</v>
      </c>
      <c r="D1402" s="23">
        <v>41223</v>
      </c>
    </row>
    <row r="1403" spans="1:4">
      <c r="A1403" t="s">
        <v>18</v>
      </c>
      <c r="B1403" t="s">
        <v>94</v>
      </c>
      <c r="C1403" s="22">
        <v>46133</v>
      </c>
      <c r="D1403" s="23">
        <v>52340</v>
      </c>
    </row>
    <row r="1404" spans="1:4">
      <c r="A1404" t="s">
        <v>18</v>
      </c>
      <c r="B1404" t="s">
        <v>96</v>
      </c>
      <c r="C1404" s="22">
        <v>46133</v>
      </c>
      <c r="D1404" s="23">
        <v>43851</v>
      </c>
    </row>
    <row r="1405" spans="1:4">
      <c r="A1405" t="s">
        <v>18</v>
      </c>
      <c r="B1405" t="s">
        <v>192</v>
      </c>
      <c r="C1405" s="22">
        <v>46133</v>
      </c>
      <c r="D1405" s="23">
        <v>51918</v>
      </c>
    </row>
    <row r="1406" spans="1:4">
      <c r="A1406" t="s">
        <v>18</v>
      </c>
      <c r="B1406" t="s">
        <v>57</v>
      </c>
      <c r="C1406" s="22">
        <v>46133</v>
      </c>
      <c r="D1406" s="23">
        <v>28940</v>
      </c>
    </row>
    <row r="1407" spans="1:4">
      <c r="A1407" t="s">
        <v>18</v>
      </c>
      <c r="B1407" t="s">
        <v>128</v>
      </c>
      <c r="C1407" s="22">
        <v>46133</v>
      </c>
      <c r="D1407" s="23">
        <v>48162</v>
      </c>
    </row>
    <row r="1408" spans="1:4">
      <c r="A1408" t="s">
        <v>21</v>
      </c>
      <c r="B1408" t="s">
        <v>240</v>
      </c>
      <c r="C1408" s="22">
        <v>46134</v>
      </c>
      <c r="D1408" s="23">
        <v>48887</v>
      </c>
    </row>
    <row r="1409" spans="1:4">
      <c r="A1409" t="s">
        <v>21</v>
      </c>
      <c r="B1409" t="s">
        <v>97</v>
      </c>
      <c r="C1409" s="22">
        <v>46134</v>
      </c>
      <c r="D1409" s="23">
        <v>44558</v>
      </c>
    </row>
    <row r="1410" spans="1:4">
      <c r="A1410" t="s">
        <v>34</v>
      </c>
      <c r="B1410" t="s">
        <v>51</v>
      </c>
      <c r="C1410" s="22">
        <v>46134</v>
      </c>
      <c r="D1410" s="23">
        <v>8487</v>
      </c>
    </row>
    <row r="1411" spans="1:4">
      <c r="A1411" t="s">
        <v>23</v>
      </c>
      <c r="B1411" t="s">
        <v>164</v>
      </c>
      <c r="C1411" s="22">
        <v>46134</v>
      </c>
      <c r="D1411" s="23">
        <v>40015</v>
      </c>
    </row>
    <row r="1412" spans="1:4">
      <c r="A1412" t="s">
        <v>20</v>
      </c>
      <c r="B1412" t="s">
        <v>89</v>
      </c>
      <c r="C1412" s="22">
        <v>46134</v>
      </c>
      <c r="D1412" s="23">
        <v>32068</v>
      </c>
    </row>
    <row r="1413" spans="1:4">
      <c r="A1413" t="s">
        <v>20</v>
      </c>
      <c r="B1413" t="s">
        <v>250</v>
      </c>
      <c r="C1413" s="22">
        <v>46134</v>
      </c>
      <c r="D1413" s="23">
        <v>31321</v>
      </c>
    </row>
    <row r="1414" spans="1:4">
      <c r="A1414" t="s">
        <v>20</v>
      </c>
      <c r="B1414" t="s">
        <v>90</v>
      </c>
      <c r="C1414" s="22">
        <v>46134</v>
      </c>
      <c r="D1414" s="23">
        <v>13122</v>
      </c>
    </row>
    <row r="1415" spans="1:4">
      <c r="A1415" t="s">
        <v>20</v>
      </c>
      <c r="B1415" t="s">
        <v>83</v>
      </c>
      <c r="C1415" s="22">
        <v>46134</v>
      </c>
      <c r="D1415" s="23">
        <v>35341</v>
      </c>
    </row>
    <row r="1416" spans="1:4">
      <c r="A1416" t="s">
        <v>18</v>
      </c>
      <c r="B1416" t="s">
        <v>67</v>
      </c>
      <c r="C1416" s="22">
        <v>46134</v>
      </c>
      <c r="D1416" s="23">
        <v>49176</v>
      </c>
    </row>
    <row r="1417" spans="1:4">
      <c r="A1417" t="s">
        <v>18</v>
      </c>
      <c r="B1417" t="s">
        <v>58</v>
      </c>
      <c r="C1417" s="22">
        <v>46134</v>
      </c>
      <c r="D1417" s="23">
        <v>51116</v>
      </c>
    </row>
    <row r="1418" spans="1:4">
      <c r="A1418" t="s">
        <v>18</v>
      </c>
      <c r="B1418" t="s">
        <v>86</v>
      </c>
      <c r="C1418" s="22">
        <v>46134</v>
      </c>
      <c r="D1418" s="23">
        <v>37693</v>
      </c>
    </row>
    <row r="1419" spans="1:4">
      <c r="A1419" t="s">
        <v>21</v>
      </c>
      <c r="B1419" t="s">
        <v>251</v>
      </c>
      <c r="C1419" s="22">
        <v>46135</v>
      </c>
      <c r="D1419" s="23">
        <v>37780</v>
      </c>
    </row>
    <row r="1420" spans="1:4">
      <c r="A1420" t="s">
        <v>21</v>
      </c>
      <c r="B1420" t="s">
        <v>277</v>
      </c>
      <c r="C1420" s="22">
        <v>46135</v>
      </c>
      <c r="D1420" s="23">
        <v>25658</v>
      </c>
    </row>
    <row r="1421" spans="1:4">
      <c r="A1421" t="s">
        <v>21</v>
      </c>
      <c r="B1421" t="s">
        <v>57</v>
      </c>
      <c r="C1421" s="22">
        <v>46135</v>
      </c>
      <c r="D1421" s="23">
        <v>39246</v>
      </c>
    </row>
    <row r="1422" spans="1:4">
      <c r="A1422" t="s">
        <v>33</v>
      </c>
      <c r="B1422" t="s">
        <v>149</v>
      </c>
      <c r="C1422" s="22">
        <v>46135</v>
      </c>
      <c r="D1422" s="23">
        <v>14052</v>
      </c>
    </row>
    <row r="1423" spans="1:4">
      <c r="A1423" t="s">
        <v>33</v>
      </c>
      <c r="B1423" t="s">
        <v>236</v>
      </c>
      <c r="C1423" s="22">
        <v>46135</v>
      </c>
      <c r="D1423" s="23">
        <v>14711</v>
      </c>
    </row>
    <row r="1424" spans="1:4">
      <c r="A1424" t="s">
        <v>27</v>
      </c>
      <c r="B1424" t="s">
        <v>256</v>
      </c>
      <c r="C1424" s="22">
        <v>46135</v>
      </c>
      <c r="D1424" s="23">
        <v>15932</v>
      </c>
    </row>
    <row r="1425" spans="1:4">
      <c r="A1425" t="s">
        <v>32</v>
      </c>
      <c r="B1425" t="s">
        <v>50</v>
      </c>
      <c r="C1425" s="22">
        <v>46135</v>
      </c>
      <c r="D1425" s="23">
        <v>31481</v>
      </c>
    </row>
    <row r="1426" spans="1:4">
      <c r="A1426" t="s">
        <v>23</v>
      </c>
      <c r="B1426" t="s">
        <v>258</v>
      </c>
      <c r="C1426" s="22">
        <v>46135</v>
      </c>
      <c r="D1426" s="23">
        <v>27675</v>
      </c>
    </row>
    <row r="1427" spans="1:4">
      <c r="A1427" t="s">
        <v>22</v>
      </c>
      <c r="B1427" t="s">
        <v>213</v>
      </c>
      <c r="C1427" s="22">
        <v>46135</v>
      </c>
      <c r="D1427" s="23">
        <v>31919</v>
      </c>
    </row>
    <row r="1428" spans="1:4">
      <c r="A1428" t="s">
        <v>20</v>
      </c>
      <c r="B1428" t="s">
        <v>103</v>
      </c>
      <c r="C1428" s="22">
        <v>46135</v>
      </c>
      <c r="D1428" s="23">
        <v>30638</v>
      </c>
    </row>
    <row r="1429" spans="1:4">
      <c r="A1429" t="s">
        <v>20</v>
      </c>
      <c r="B1429" t="s">
        <v>199</v>
      </c>
      <c r="C1429" s="22">
        <v>46135</v>
      </c>
      <c r="D1429" s="23">
        <v>35852</v>
      </c>
    </row>
    <row r="1430" spans="1:4">
      <c r="A1430" t="s">
        <v>20</v>
      </c>
      <c r="B1430" t="s">
        <v>91</v>
      </c>
      <c r="C1430" s="22">
        <v>46135</v>
      </c>
      <c r="D1430" s="23">
        <v>39266</v>
      </c>
    </row>
    <row r="1431" spans="1:4">
      <c r="A1431" t="s">
        <v>18</v>
      </c>
      <c r="B1431" t="s">
        <v>55</v>
      </c>
      <c r="C1431" s="22">
        <v>46135</v>
      </c>
      <c r="D1431" s="23">
        <v>44376</v>
      </c>
    </row>
    <row r="1432" spans="1:4">
      <c r="A1432" t="s">
        <v>18</v>
      </c>
      <c r="B1432" t="s">
        <v>260</v>
      </c>
      <c r="C1432" s="22">
        <v>46135</v>
      </c>
      <c r="D1432" s="23">
        <v>44670</v>
      </c>
    </row>
    <row r="1433" spans="1:4">
      <c r="A1433" t="s">
        <v>18</v>
      </c>
      <c r="B1433" t="s">
        <v>59</v>
      </c>
      <c r="C1433" s="22">
        <v>46135</v>
      </c>
      <c r="D1433" s="23">
        <v>49861</v>
      </c>
    </row>
    <row r="1434" spans="1:4">
      <c r="A1434" t="s">
        <v>26</v>
      </c>
      <c r="B1434" t="s">
        <v>276</v>
      </c>
      <c r="C1434" s="22">
        <v>46136</v>
      </c>
      <c r="D1434" s="23">
        <v>33747</v>
      </c>
    </row>
    <row r="1435" spans="1:4">
      <c r="A1435" t="s">
        <v>25</v>
      </c>
      <c r="B1435" t="s">
        <v>120</v>
      </c>
      <c r="C1435" s="22">
        <v>46136</v>
      </c>
      <c r="D1435" s="23">
        <v>18157</v>
      </c>
    </row>
    <row r="1436" spans="1:4">
      <c r="A1436" t="s">
        <v>23</v>
      </c>
      <c r="B1436" t="s">
        <v>233</v>
      </c>
      <c r="C1436" s="22">
        <v>46136</v>
      </c>
      <c r="D1436" s="23">
        <v>19917</v>
      </c>
    </row>
    <row r="1437" spans="1:4">
      <c r="A1437" t="s">
        <v>23</v>
      </c>
      <c r="B1437" t="s">
        <v>195</v>
      </c>
      <c r="C1437" s="22">
        <v>46136</v>
      </c>
      <c r="D1437" s="23">
        <v>19464</v>
      </c>
    </row>
    <row r="1438" spans="1:4">
      <c r="A1438" t="s">
        <v>22</v>
      </c>
      <c r="B1438" t="s">
        <v>238</v>
      </c>
      <c r="C1438" s="22">
        <v>46136</v>
      </c>
      <c r="D1438" s="23">
        <v>42582</v>
      </c>
    </row>
    <row r="1439" spans="1:4">
      <c r="A1439" t="s">
        <v>20</v>
      </c>
      <c r="B1439" t="s">
        <v>207</v>
      </c>
      <c r="C1439" s="22">
        <v>46136</v>
      </c>
      <c r="D1439" s="23">
        <v>48190</v>
      </c>
    </row>
    <row r="1440" spans="1:4">
      <c r="A1440" t="s">
        <v>20</v>
      </c>
      <c r="B1440" t="s">
        <v>116</v>
      </c>
      <c r="C1440" s="22">
        <v>46136</v>
      </c>
      <c r="D1440" s="23">
        <v>33496</v>
      </c>
    </row>
    <row r="1441" spans="1:4">
      <c r="A1441" t="s">
        <v>18</v>
      </c>
      <c r="B1441" t="s">
        <v>56</v>
      </c>
      <c r="C1441" s="22">
        <v>46136</v>
      </c>
      <c r="D1441" s="23">
        <v>28916</v>
      </c>
    </row>
    <row r="1442" spans="1:4">
      <c r="A1442" t="s">
        <v>21</v>
      </c>
      <c r="B1442" t="s">
        <v>250</v>
      </c>
      <c r="C1442" s="22">
        <v>46137</v>
      </c>
      <c r="D1442" s="23">
        <v>24176</v>
      </c>
    </row>
    <row r="1443" spans="1:4">
      <c r="A1443" t="s">
        <v>21</v>
      </c>
      <c r="B1443" t="s">
        <v>163</v>
      </c>
      <c r="C1443" s="22">
        <v>46137</v>
      </c>
      <c r="D1443" s="23">
        <v>17247</v>
      </c>
    </row>
    <row r="1444" spans="1:4">
      <c r="A1444" t="s">
        <v>21</v>
      </c>
      <c r="B1444" t="s">
        <v>131</v>
      </c>
      <c r="C1444" s="22">
        <v>46137</v>
      </c>
      <c r="D1444" s="23">
        <v>44764</v>
      </c>
    </row>
    <row r="1445" spans="1:4">
      <c r="A1445" t="s">
        <v>26</v>
      </c>
      <c r="B1445" t="s">
        <v>278</v>
      </c>
      <c r="C1445" s="22">
        <v>46137</v>
      </c>
      <c r="D1445" s="23">
        <v>19467</v>
      </c>
    </row>
    <row r="1446" spans="1:4">
      <c r="A1446" t="s">
        <v>31</v>
      </c>
      <c r="B1446" t="s">
        <v>111</v>
      </c>
      <c r="C1446" s="22">
        <v>46137</v>
      </c>
      <c r="D1446" s="23">
        <v>13184</v>
      </c>
    </row>
    <row r="1447" spans="1:4">
      <c r="A1447" t="s">
        <v>23</v>
      </c>
      <c r="B1447" t="s">
        <v>221</v>
      </c>
      <c r="C1447" s="22">
        <v>46137</v>
      </c>
      <c r="D1447" s="23">
        <v>21973</v>
      </c>
    </row>
    <row r="1448" spans="1:4">
      <c r="A1448" t="s">
        <v>20</v>
      </c>
      <c r="B1448" t="s">
        <v>189</v>
      </c>
      <c r="C1448" s="22">
        <v>46137</v>
      </c>
      <c r="D1448" s="23">
        <v>25093</v>
      </c>
    </row>
    <row r="1449" spans="1:4">
      <c r="A1449" t="s">
        <v>20</v>
      </c>
      <c r="B1449" t="s">
        <v>239</v>
      </c>
      <c r="C1449" s="22">
        <v>46137</v>
      </c>
      <c r="D1449" s="23">
        <v>24684</v>
      </c>
    </row>
    <row r="1450" spans="1:4">
      <c r="A1450" t="s">
        <v>18</v>
      </c>
      <c r="B1450" t="s">
        <v>66</v>
      </c>
      <c r="C1450" s="22">
        <v>46137</v>
      </c>
      <c r="D1450" s="23">
        <v>30798</v>
      </c>
    </row>
    <row r="1451" spans="1:4">
      <c r="A1451" t="s">
        <v>18</v>
      </c>
      <c r="B1451" t="s">
        <v>139</v>
      </c>
      <c r="C1451" s="22">
        <v>46137</v>
      </c>
      <c r="D1451" s="23">
        <v>29683</v>
      </c>
    </row>
    <row r="1452" spans="1:4">
      <c r="A1452" t="s">
        <v>18</v>
      </c>
      <c r="B1452" t="s">
        <v>118</v>
      </c>
      <c r="C1452" s="22">
        <v>46137</v>
      </c>
      <c r="D1452" s="23">
        <v>39664</v>
      </c>
    </row>
    <row r="1453" spans="1:4">
      <c r="A1453" t="s">
        <v>18</v>
      </c>
      <c r="B1453" t="s">
        <v>159</v>
      </c>
      <c r="C1453" s="22">
        <v>46137</v>
      </c>
      <c r="D1453" s="23">
        <v>41612</v>
      </c>
    </row>
    <row r="1454" spans="1:4">
      <c r="A1454" t="s">
        <v>37</v>
      </c>
      <c r="B1454" t="s">
        <v>73</v>
      </c>
      <c r="C1454" s="22">
        <v>46138</v>
      </c>
      <c r="D1454" s="23">
        <v>16662</v>
      </c>
    </row>
    <row r="1455" spans="1:4">
      <c r="A1455" t="s">
        <v>21</v>
      </c>
      <c r="B1455" t="s">
        <v>146</v>
      </c>
      <c r="C1455" s="22">
        <v>46138</v>
      </c>
      <c r="D1455" s="23">
        <v>13187</v>
      </c>
    </row>
    <row r="1456" spans="1:4">
      <c r="A1456" t="s">
        <v>27</v>
      </c>
      <c r="B1456" t="s">
        <v>177</v>
      </c>
      <c r="C1456" s="22">
        <v>46138</v>
      </c>
      <c r="D1456" s="23">
        <v>9594</v>
      </c>
    </row>
    <row r="1457" spans="1:4">
      <c r="A1457" t="s">
        <v>27</v>
      </c>
      <c r="B1457" t="s">
        <v>166</v>
      </c>
      <c r="C1457" s="22">
        <v>46138</v>
      </c>
      <c r="D1457" s="23">
        <v>16079</v>
      </c>
    </row>
    <row r="1458" spans="1:4">
      <c r="A1458" t="s">
        <v>20</v>
      </c>
      <c r="B1458" t="s">
        <v>104</v>
      </c>
      <c r="C1458" s="22">
        <v>46138</v>
      </c>
      <c r="D1458" s="23">
        <v>38899</v>
      </c>
    </row>
    <row r="1459" spans="1:4">
      <c r="A1459" t="s">
        <v>18</v>
      </c>
      <c r="B1459" t="s">
        <v>200</v>
      </c>
      <c r="C1459" s="22">
        <v>46138</v>
      </c>
      <c r="D1459" s="23">
        <v>51416</v>
      </c>
    </row>
    <row r="1460" spans="1:4">
      <c r="A1460" t="s">
        <v>18</v>
      </c>
      <c r="B1460" t="s">
        <v>56</v>
      </c>
      <c r="C1460" s="22">
        <v>46138</v>
      </c>
      <c r="D1460" s="23">
        <v>34559</v>
      </c>
    </row>
    <row r="1461" spans="1:4">
      <c r="A1461" t="s">
        <v>18</v>
      </c>
      <c r="B1461" t="s">
        <v>94</v>
      </c>
      <c r="C1461" s="22">
        <v>46138</v>
      </c>
      <c r="D1461" s="23">
        <v>48418</v>
      </c>
    </row>
    <row r="1462" spans="1:4">
      <c r="A1462" t="s">
        <v>21</v>
      </c>
      <c r="B1462" t="s">
        <v>47</v>
      </c>
      <c r="C1462" s="22">
        <v>46139</v>
      </c>
      <c r="D1462" s="23">
        <v>37075</v>
      </c>
    </row>
    <row r="1463" spans="1:4">
      <c r="A1463" t="s">
        <v>21</v>
      </c>
      <c r="B1463" t="s">
        <v>259</v>
      </c>
      <c r="C1463" s="22">
        <v>46139</v>
      </c>
      <c r="D1463" s="23">
        <v>26346</v>
      </c>
    </row>
    <row r="1464" spans="1:4">
      <c r="A1464" t="s">
        <v>31</v>
      </c>
      <c r="B1464" t="s">
        <v>273</v>
      </c>
      <c r="C1464" s="22">
        <v>46139</v>
      </c>
      <c r="D1464" s="23">
        <v>21883</v>
      </c>
    </row>
    <row r="1465" spans="1:4">
      <c r="A1465" t="s">
        <v>23</v>
      </c>
      <c r="B1465" t="s">
        <v>232</v>
      </c>
      <c r="C1465" s="22">
        <v>46139</v>
      </c>
      <c r="D1465" s="23">
        <v>13903</v>
      </c>
    </row>
    <row r="1466" spans="1:4">
      <c r="A1466" t="s">
        <v>22</v>
      </c>
      <c r="B1466" t="s">
        <v>188</v>
      </c>
      <c r="C1466" s="22">
        <v>46139</v>
      </c>
      <c r="D1466" s="23">
        <v>30905</v>
      </c>
    </row>
    <row r="1467" spans="1:4">
      <c r="A1467" t="s">
        <v>20</v>
      </c>
      <c r="B1467" t="s">
        <v>169</v>
      </c>
      <c r="C1467" s="22">
        <v>46139</v>
      </c>
      <c r="D1467" s="23">
        <v>34849</v>
      </c>
    </row>
    <row r="1468" spans="1:4">
      <c r="A1468" t="s">
        <v>20</v>
      </c>
      <c r="B1468" t="s">
        <v>116</v>
      </c>
      <c r="C1468" s="22">
        <v>46139</v>
      </c>
      <c r="D1468" s="23">
        <v>25254</v>
      </c>
    </row>
    <row r="1469" spans="1:4">
      <c r="A1469" t="s">
        <v>18</v>
      </c>
      <c r="B1469" t="s">
        <v>58</v>
      </c>
      <c r="C1469" s="22">
        <v>46139</v>
      </c>
      <c r="D1469" s="23">
        <v>54199</v>
      </c>
    </row>
    <row r="1470" spans="1:4">
      <c r="A1470" t="s">
        <v>18</v>
      </c>
      <c r="B1470" t="s">
        <v>97</v>
      </c>
      <c r="C1470" s="22">
        <v>46139</v>
      </c>
      <c r="D1470" s="23">
        <v>52304</v>
      </c>
    </row>
    <row r="1471" spans="1:4">
      <c r="A1471" t="s">
        <v>18</v>
      </c>
      <c r="B1471" t="s">
        <v>97</v>
      </c>
      <c r="C1471" s="22">
        <v>46139</v>
      </c>
      <c r="D1471" s="23">
        <v>38574</v>
      </c>
    </row>
    <row r="1472" spans="1:4">
      <c r="A1472" t="s">
        <v>21</v>
      </c>
      <c r="B1472" t="s">
        <v>67</v>
      </c>
      <c r="C1472" s="22">
        <v>46140</v>
      </c>
      <c r="D1472" s="23">
        <v>39886</v>
      </c>
    </row>
    <row r="1473" spans="1:4">
      <c r="A1473" t="s">
        <v>33</v>
      </c>
      <c r="B1473" t="s">
        <v>242</v>
      </c>
      <c r="C1473" s="22">
        <v>46140</v>
      </c>
      <c r="D1473" s="23">
        <v>12420</v>
      </c>
    </row>
    <row r="1474" spans="1:4">
      <c r="A1474" t="s">
        <v>26</v>
      </c>
      <c r="B1474" t="s">
        <v>210</v>
      </c>
      <c r="C1474" s="22">
        <v>46140</v>
      </c>
      <c r="D1474" s="23">
        <v>18578</v>
      </c>
    </row>
    <row r="1475" spans="1:4">
      <c r="A1475" t="s">
        <v>32</v>
      </c>
      <c r="B1475" t="s">
        <v>179</v>
      </c>
      <c r="C1475" s="22">
        <v>46140</v>
      </c>
      <c r="D1475" s="23">
        <v>14807</v>
      </c>
    </row>
    <row r="1476" spans="1:4">
      <c r="A1476" t="s">
        <v>25</v>
      </c>
      <c r="B1476" t="s">
        <v>175</v>
      </c>
      <c r="C1476" s="22">
        <v>46140</v>
      </c>
      <c r="D1476" s="23">
        <v>15666</v>
      </c>
    </row>
    <row r="1477" spans="1:4">
      <c r="A1477" t="s">
        <v>25</v>
      </c>
      <c r="B1477" t="s">
        <v>245</v>
      </c>
      <c r="C1477" s="22">
        <v>46140</v>
      </c>
      <c r="D1477" s="23">
        <v>22674</v>
      </c>
    </row>
    <row r="1478" spans="1:4">
      <c r="A1478" t="s">
        <v>23</v>
      </c>
      <c r="B1478" t="s">
        <v>187</v>
      </c>
      <c r="C1478" s="22">
        <v>46140</v>
      </c>
      <c r="D1478" s="23">
        <v>22194</v>
      </c>
    </row>
    <row r="1479" spans="1:4">
      <c r="A1479" t="s">
        <v>22</v>
      </c>
      <c r="B1479" t="s">
        <v>249</v>
      </c>
      <c r="C1479" s="22">
        <v>46140</v>
      </c>
      <c r="D1479" s="23">
        <v>37955</v>
      </c>
    </row>
    <row r="1480" spans="1:4">
      <c r="A1480" t="s">
        <v>22</v>
      </c>
      <c r="B1480" t="s">
        <v>153</v>
      </c>
      <c r="C1480" s="22">
        <v>46140</v>
      </c>
      <c r="D1480" s="23">
        <v>31074</v>
      </c>
    </row>
    <row r="1481" spans="1:4">
      <c r="A1481" t="s">
        <v>20</v>
      </c>
      <c r="B1481" t="s">
        <v>144</v>
      </c>
      <c r="C1481" s="22">
        <v>46140</v>
      </c>
      <c r="D1481" s="23">
        <v>45247</v>
      </c>
    </row>
    <row r="1482" spans="1:4">
      <c r="A1482" t="s">
        <v>18</v>
      </c>
      <c r="B1482" t="s">
        <v>54</v>
      </c>
      <c r="C1482" s="22">
        <v>46140</v>
      </c>
      <c r="D1482" s="23">
        <v>34652</v>
      </c>
    </row>
    <row r="1483" spans="1:4">
      <c r="A1483" t="s">
        <v>18</v>
      </c>
      <c r="B1483" t="s">
        <v>85</v>
      </c>
      <c r="C1483" s="22">
        <v>46140</v>
      </c>
      <c r="D1483" s="23">
        <v>43002</v>
      </c>
    </row>
    <row r="1484" spans="1:4">
      <c r="A1484" t="s">
        <v>18</v>
      </c>
      <c r="B1484" t="s">
        <v>192</v>
      </c>
      <c r="C1484" s="22">
        <v>46140</v>
      </c>
      <c r="D1484" s="23">
        <v>37461</v>
      </c>
    </row>
    <row r="1485" spans="1:4">
      <c r="A1485" t="s">
        <v>18</v>
      </c>
      <c r="B1485" t="s">
        <v>172</v>
      </c>
      <c r="C1485" s="22">
        <v>46140</v>
      </c>
      <c r="D1485" s="23">
        <v>34173</v>
      </c>
    </row>
    <row r="1486" spans="1:4">
      <c r="A1486" t="s">
        <v>18</v>
      </c>
      <c r="B1486" t="s">
        <v>159</v>
      </c>
      <c r="C1486" s="22">
        <v>46140</v>
      </c>
      <c r="D1486" s="23">
        <v>32422</v>
      </c>
    </row>
    <row r="1487" spans="1:4">
      <c r="A1487" t="s">
        <v>21</v>
      </c>
      <c r="B1487" t="s">
        <v>148</v>
      </c>
      <c r="C1487" s="22">
        <v>46141</v>
      </c>
      <c r="D1487" s="23">
        <v>40980</v>
      </c>
    </row>
    <row r="1488" spans="1:4">
      <c r="A1488" t="s">
        <v>21</v>
      </c>
      <c r="B1488" t="s">
        <v>75</v>
      </c>
      <c r="C1488" s="22">
        <v>46141</v>
      </c>
      <c r="D1488" s="23">
        <v>38620</v>
      </c>
    </row>
    <row r="1489" spans="1:4">
      <c r="A1489" t="s">
        <v>21</v>
      </c>
      <c r="B1489" t="s">
        <v>174</v>
      </c>
      <c r="C1489" s="22">
        <v>46141</v>
      </c>
      <c r="D1489" s="23">
        <v>23443</v>
      </c>
    </row>
    <row r="1490" spans="1:4">
      <c r="A1490" t="s">
        <v>34</v>
      </c>
      <c r="B1490" t="s">
        <v>186</v>
      </c>
      <c r="C1490" s="22">
        <v>46141</v>
      </c>
      <c r="D1490" s="23">
        <v>14551</v>
      </c>
    </row>
    <row r="1491" spans="1:4">
      <c r="A1491" t="s">
        <v>18</v>
      </c>
      <c r="B1491" t="s">
        <v>55</v>
      </c>
      <c r="C1491" s="22">
        <v>46141</v>
      </c>
      <c r="D1491" s="23">
        <v>33618</v>
      </c>
    </row>
    <row r="1492" spans="1:4">
      <c r="A1492" t="s">
        <v>18</v>
      </c>
      <c r="B1492" t="s">
        <v>190</v>
      </c>
      <c r="C1492" s="22">
        <v>46141</v>
      </c>
      <c r="D1492" s="23">
        <v>33453</v>
      </c>
    </row>
    <row r="1493" spans="1:4">
      <c r="A1493" t="s">
        <v>18</v>
      </c>
      <c r="B1493" t="s">
        <v>192</v>
      </c>
      <c r="C1493" s="22">
        <v>46141</v>
      </c>
      <c r="D1493" s="23">
        <v>42999</v>
      </c>
    </row>
    <row r="1494" spans="1:4">
      <c r="A1494" t="s">
        <v>18</v>
      </c>
      <c r="B1494" t="s">
        <v>208</v>
      </c>
      <c r="C1494" s="22">
        <v>46141</v>
      </c>
      <c r="D1494" s="23">
        <v>58591</v>
      </c>
    </row>
    <row r="1495" spans="1:4">
      <c r="A1495" t="s">
        <v>18</v>
      </c>
      <c r="B1495" t="s">
        <v>86</v>
      </c>
      <c r="C1495" s="22">
        <v>46141</v>
      </c>
      <c r="D1495" s="23">
        <v>41120</v>
      </c>
    </row>
    <row r="1496" spans="1:4">
      <c r="A1496" t="s">
        <v>18</v>
      </c>
      <c r="B1496" t="s">
        <v>107</v>
      </c>
      <c r="C1496" s="22">
        <v>46141</v>
      </c>
      <c r="D1496" s="23">
        <v>39732</v>
      </c>
    </row>
    <row r="1497" spans="1:4">
      <c r="A1497" t="s">
        <v>18</v>
      </c>
      <c r="B1497" t="s">
        <v>92</v>
      </c>
      <c r="C1497" s="22">
        <v>46142</v>
      </c>
      <c r="D1497" s="23">
        <v>44241</v>
      </c>
    </row>
    <row r="1498" spans="1:4">
      <c r="A1498" t="s">
        <v>18</v>
      </c>
      <c r="B1498" t="s">
        <v>117</v>
      </c>
      <c r="C1498" s="22">
        <v>46142</v>
      </c>
      <c r="D1498" s="23">
        <v>44492</v>
      </c>
    </row>
    <row r="1499" spans="1:4">
      <c r="A1499" t="s">
        <v>18</v>
      </c>
      <c r="B1499" t="s">
        <v>117</v>
      </c>
      <c r="C1499" s="22">
        <v>46142</v>
      </c>
      <c r="D1499" s="23">
        <v>40708</v>
      </c>
    </row>
    <row r="1500" spans="1:4">
      <c r="A1500" t="s">
        <v>18</v>
      </c>
      <c r="B1500" t="s">
        <v>208</v>
      </c>
      <c r="C1500" s="22">
        <v>46142</v>
      </c>
      <c r="D1500" s="23">
        <v>42612</v>
      </c>
    </row>
    <row r="1501" spans="1:4">
      <c r="A1501" t="s">
        <v>21</v>
      </c>
      <c r="B1501" t="s">
        <v>240</v>
      </c>
      <c r="C1501" s="22">
        <v>46143</v>
      </c>
      <c r="D1501" s="23">
        <v>37175</v>
      </c>
    </row>
    <row r="1502" spans="1:4">
      <c r="A1502" t="s">
        <v>33</v>
      </c>
      <c r="B1502" t="s">
        <v>149</v>
      </c>
      <c r="C1502" s="22">
        <v>46143</v>
      </c>
      <c r="D1502" s="23">
        <v>13549</v>
      </c>
    </row>
    <row r="1503" spans="1:4">
      <c r="A1503" t="s">
        <v>22</v>
      </c>
      <c r="B1503" t="s">
        <v>188</v>
      </c>
      <c r="C1503" s="22">
        <v>46143</v>
      </c>
      <c r="D1503" s="23">
        <v>31865</v>
      </c>
    </row>
    <row r="1504" spans="1:4">
      <c r="A1504" t="s">
        <v>18</v>
      </c>
      <c r="B1504" t="s">
        <v>190</v>
      </c>
      <c r="C1504" s="22">
        <v>46143</v>
      </c>
      <c r="D1504" s="23">
        <v>45469</v>
      </c>
    </row>
    <row r="1505" spans="1:4">
      <c r="A1505" t="s">
        <v>18</v>
      </c>
      <c r="B1505" t="s">
        <v>159</v>
      </c>
      <c r="C1505" s="22">
        <v>46143</v>
      </c>
      <c r="D1505" s="23">
        <v>29208</v>
      </c>
    </row>
    <row r="1506" spans="1:4">
      <c r="A1506" t="s">
        <v>18</v>
      </c>
      <c r="B1506" t="s">
        <v>108</v>
      </c>
      <c r="C1506" s="22">
        <v>46143</v>
      </c>
      <c r="D1506" s="23">
        <v>24559</v>
      </c>
    </row>
    <row r="1507" spans="1:4">
      <c r="A1507" t="s">
        <v>36</v>
      </c>
      <c r="B1507" t="s">
        <v>101</v>
      </c>
      <c r="C1507" s="22">
        <v>46144</v>
      </c>
      <c r="D1507" s="23">
        <v>9485</v>
      </c>
    </row>
    <row r="1508" spans="1:4">
      <c r="A1508" t="s">
        <v>23</v>
      </c>
      <c r="B1508" t="s">
        <v>63</v>
      </c>
      <c r="C1508" s="22">
        <v>46144</v>
      </c>
      <c r="D1508" s="23">
        <v>14378</v>
      </c>
    </row>
    <row r="1509" spans="1:4">
      <c r="A1509" t="s">
        <v>22</v>
      </c>
      <c r="B1509" t="s">
        <v>206</v>
      </c>
      <c r="C1509" s="22">
        <v>46144</v>
      </c>
      <c r="D1509" s="23">
        <v>16424</v>
      </c>
    </row>
    <row r="1510" spans="1:4">
      <c r="A1510" t="s">
        <v>22</v>
      </c>
      <c r="B1510" t="s">
        <v>81</v>
      </c>
      <c r="C1510" s="22">
        <v>46144</v>
      </c>
      <c r="D1510" s="23">
        <v>31597</v>
      </c>
    </row>
    <row r="1511" spans="1:4">
      <c r="A1511" t="s">
        <v>22</v>
      </c>
      <c r="B1511" t="s">
        <v>153</v>
      </c>
      <c r="C1511" s="22">
        <v>46144</v>
      </c>
      <c r="D1511" s="23">
        <v>18471</v>
      </c>
    </row>
    <row r="1512" spans="1:4">
      <c r="A1512" t="s">
        <v>22</v>
      </c>
      <c r="B1512" t="s">
        <v>213</v>
      </c>
      <c r="C1512" s="22">
        <v>46144</v>
      </c>
      <c r="D1512" s="23">
        <v>31569</v>
      </c>
    </row>
    <row r="1513" spans="1:4">
      <c r="A1513" t="s">
        <v>20</v>
      </c>
      <c r="B1513" t="s">
        <v>136</v>
      </c>
      <c r="C1513" s="22">
        <v>46144</v>
      </c>
      <c r="D1513" s="23">
        <v>29797</v>
      </c>
    </row>
    <row r="1514" spans="1:4">
      <c r="A1514" t="s">
        <v>20</v>
      </c>
      <c r="B1514" t="s">
        <v>103</v>
      </c>
      <c r="C1514" s="22">
        <v>46144</v>
      </c>
      <c r="D1514" s="23">
        <v>45856</v>
      </c>
    </row>
    <row r="1515" spans="1:4">
      <c r="A1515" t="s">
        <v>20</v>
      </c>
      <c r="B1515" t="s">
        <v>145</v>
      </c>
      <c r="C1515" s="22">
        <v>46144</v>
      </c>
      <c r="D1515" s="23">
        <v>41928</v>
      </c>
    </row>
    <row r="1516" spans="1:4">
      <c r="A1516" t="s">
        <v>20</v>
      </c>
      <c r="B1516" t="s">
        <v>145</v>
      </c>
      <c r="C1516" s="22">
        <v>46144</v>
      </c>
      <c r="D1516" s="23">
        <v>33275</v>
      </c>
    </row>
    <row r="1517" spans="1:4">
      <c r="A1517" t="s">
        <v>20</v>
      </c>
      <c r="B1517" t="s">
        <v>116</v>
      </c>
      <c r="C1517" s="22">
        <v>46144</v>
      </c>
      <c r="D1517" s="23">
        <v>23236</v>
      </c>
    </row>
    <row r="1518" spans="1:4">
      <c r="A1518" t="s">
        <v>18</v>
      </c>
      <c r="B1518" t="s">
        <v>54</v>
      </c>
      <c r="C1518" s="22">
        <v>46144</v>
      </c>
      <c r="D1518" s="23">
        <v>38171</v>
      </c>
    </row>
    <row r="1519" spans="1:4">
      <c r="A1519" t="s">
        <v>18</v>
      </c>
      <c r="B1519" t="s">
        <v>106</v>
      </c>
      <c r="C1519" s="22">
        <v>46144</v>
      </c>
      <c r="D1519" s="23">
        <v>51015</v>
      </c>
    </row>
    <row r="1520" spans="1:4">
      <c r="A1520" t="s">
        <v>18</v>
      </c>
      <c r="B1520" t="s">
        <v>56</v>
      </c>
      <c r="C1520" s="22">
        <v>46144</v>
      </c>
      <c r="D1520" s="23">
        <v>29950</v>
      </c>
    </row>
    <row r="1521" spans="1:4">
      <c r="A1521" t="s">
        <v>18</v>
      </c>
      <c r="B1521" t="s">
        <v>69</v>
      </c>
      <c r="C1521" s="22">
        <v>46144</v>
      </c>
      <c r="D1521" s="23">
        <v>36387</v>
      </c>
    </row>
    <row r="1522" spans="1:4">
      <c r="A1522" t="s">
        <v>18</v>
      </c>
      <c r="B1522" t="s">
        <v>208</v>
      </c>
      <c r="C1522" s="22">
        <v>46144</v>
      </c>
      <c r="D1522" s="23">
        <v>49229</v>
      </c>
    </row>
    <row r="1523" spans="1:4">
      <c r="A1523" t="s">
        <v>18</v>
      </c>
      <c r="B1523" t="s">
        <v>86</v>
      </c>
      <c r="C1523" s="22">
        <v>46144</v>
      </c>
      <c r="D1523" s="23">
        <v>37552</v>
      </c>
    </row>
    <row r="1524" spans="1:4">
      <c r="A1524" t="s">
        <v>39</v>
      </c>
      <c r="B1524" t="s">
        <v>74</v>
      </c>
      <c r="C1524" s="22">
        <v>46145</v>
      </c>
      <c r="D1524" s="23">
        <v>5200</v>
      </c>
    </row>
    <row r="1525" spans="1:4">
      <c r="A1525" t="s">
        <v>26</v>
      </c>
      <c r="B1525" t="s">
        <v>99</v>
      </c>
      <c r="C1525" s="22">
        <v>46145</v>
      </c>
      <c r="D1525" s="23">
        <v>11323</v>
      </c>
    </row>
    <row r="1526" spans="1:4">
      <c r="A1526" t="s">
        <v>26</v>
      </c>
      <c r="B1526" t="s">
        <v>220</v>
      </c>
      <c r="C1526" s="22">
        <v>46145</v>
      </c>
      <c r="D1526" s="23">
        <v>16932</v>
      </c>
    </row>
    <row r="1527" spans="1:4">
      <c r="A1527" t="s">
        <v>32</v>
      </c>
      <c r="B1527" t="s">
        <v>179</v>
      </c>
      <c r="C1527" s="22">
        <v>46145</v>
      </c>
      <c r="D1527" s="23">
        <v>15671</v>
      </c>
    </row>
    <row r="1528" spans="1:4">
      <c r="A1528" t="s">
        <v>25</v>
      </c>
      <c r="B1528" t="s">
        <v>211</v>
      </c>
      <c r="C1528" s="22">
        <v>46145</v>
      </c>
      <c r="D1528" s="23">
        <v>22324</v>
      </c>
    </row>
    <row r="1529" spans="1:4">
      <c r="A1529" t="s">
        <v>22</v>
      </c>
      <c r="B1529" t="s">
        <v>52</v>
      </c>
      <c r="C1529" s="22">
        <v>46145</v>
      </c>
      <c r="D1529" s="23">
        <v>19458</v>
      </c>
    </row>
    <row r="1530" spans="1:4">
      <c r="A1530" t="s">
        <v>38</v>
      </c>
      <c r="B1530" t="s">
        <v>157</v>
      </c>
      <c r="C1530" s="22">
        <v>46145</v>
      </c>
      <c r="D1530" s="23">
        <v>13827</v>
      </c>
    </row>
    <row r="1531" spans="1:4">
      <c r="A1531" t="s">
        <v>20</v>
      </c>
      <c r="B1531" t="s">
        <v>168</v>
      </c>
      <c r="C1531" s="22">
        <v>46145</v>
      </c>
      <c r="D1531" s="23">
        <v>20865</v>
      </c>
    </row>
    <row r="1532" spans="1:4">
      <c r="A1532" t="s">
        <v>20</v>
      </c>
      <c r="B1532" t="s">
        <v>215</v>
      </c>
      <c r="C1532" s="22">
        <v>46145</v>
      </c>
      <c r="D1532" s="23">
        <v>23824</v>
      </c>
    </row>
    <row r="1533" spans="1:4">
      <c r="A1533" t="s">
        <v>18</v>
      </c>
      <c r="B1533" t="s">
        <v>66</v>
      </c>
      <c r="C1533" s="22">
        <v>46145</v>
      </c>
      <c r="D1533" s="23">
        <v>32562</v>
      </c>
    </row>
    <row r="1534" spans="1:4">
      <c r="A1534" t="s">
        <v>18</v>
      </c>
      <c r="B1534" t="s">
        <v>162</v>
      </c>
      <c r="C1534" s="22">
        <v>46145</v>
      </c>
      <c r="D1534" s="23">
        <v>45933</v>
      </c>
    </row>
    <row r="1535" spans="1:4">
      <c r="A1535" t="s">
        <v>18</v>
      </c>
      <c r="B1535" t="s">
        <v>159</v>
      </c>
      <c r="C1535" s="22">
        <v>46145</v>
      </c>
      <c r="D1535" s="23">
        <v>41595</v>
      </c>
    </row>
    <row r="1536" spans="1:4">
      <c r="A1536" t="s">
        <v>18</v>
      </c>
      <c r="B1536" t="s">
        <v>224</v>
      </c>
      <c r="C1536" s="22">
        <v>46145</v>
      </c>
      <c r="D1536" s="23">
        <v>49190</v>
      </c>
    </row>
    <row r="1537" spans="1:4">
      <c r="A1537" t="s">
        <v>18</v>
      </c>
      <c r="B1537" t="s">
        <v>107</v>
      </c>
      <c r="C1537" s="22">
        <v>46145</v>
      </c>
      <c r="D1537" s="23">
        <v>27338</v>
      </c>
    </row>
    <row r="1538" spans="1:4">
      <c r="A1538" t="s">
        <v>21</v>
      </c>
      <c r="B1538" t="s">
        <v>209</v>
      </c>
      <c r="C1538" s="22">
        <v>46146</v>
      </c>
      <c r="D1538" s="23">
        <v>32019</v>
      </c>
    </row>
    <row r="1539" spans="1:4">
      <c r="A1539" t="s">
        <v>21</v>
      </c>
      <c r="B1539" t="s">
        <v>164</v>
      </c>
      <c r="C1539" s="22">
        <v>46146</v>
      </c>
      <c r="D1539" s="23">
        <v>39753</v>
      </c>
    </row>
    <row r="1540" spans="1:4">
      <c r="A1540" t="s">
        <v>21</v>
      </c>
      <c r="B1540" t="s">
        <v>97</v>
      </c>
      <c r="C1540" s="22">
        <v>46146</v>
      </c>
      <c r="D1540" s="23">
        <v>39241</v>
      </c>
    </row>
    <row r="1541" spans="1:4">
      <c r="A1541" t="s">
        <v>33</v>
      </c>
      <c r="B1541" t="s">
        <v>154</v>
      </c>
      <c r="C1541" s="22">
        <v>46146</v>
      </c>
      <c r="D1541" s="23">
        <v>13301</v>
      </c>
    </row>
    <row r="1542" spans="1:4">
      <c r="A1542" t="s">
        <v>31</v>
      </c>
      <c r="B1542" t="s">
        <v>142</v>
      </c>
      <c r="C1542" s="22">
        <v>46146</v>
      </c>
      <c r="D1542" s="23">
        <v>14533</v>
      </c>
    </row>
    <row r="1543" spans="1:4">
      <c r="A1543" t="s">
        <v>40</v>
      </c>
      <c r="B1543" t="s">
        <v>88</v>
      </c>
      <c r="C1543" s="22">
        <v>46146</v>
      </c>
      <c r="D1543" s="23">
        <v>5200</v>
      </c>
    </row>
    <row r="1544" spans="1:4">
      <c r="A1544" t="s">
        <v>20</v>
      </c>
      <c r="B1544" t="s">
        <v>102</v>
      </c>
      <c r="C1544" s="22">
        <v>46146</v>
      </c>
      <c r="D1544" s="23">
        <v>33360</v>
      </c>
    </row>
    <row r="1545" spans="1:4">
      <c r="A1545" t="s">
        <v>18</v>
      </c>
      <c r="B1545" t="s">
        <v>85</v>
      </c>
      <c r="C1545" s="22">
        <v>46146</v>
      </c>
      <c r="D1545" s="23">
        <v>27185</v>
      </c>
    </row>
    <row r="1546" spans="1:4">
      <c r="A1546" t="s">
        <v>18</v>
      </c>
      <c r="B1546" t="s">
        <v>224</v>
      </c>
      <c r="C1546" s="22">
        <v>46146</v>
      </c>
      <c r="D1546" s="23">
        <v>41227</v>
      </c>
    </row>
    <row r="1547" spans="1:4">
      <c r="A1547" t="s">
        <v>21</v>
      </c>
      <c r="B1547" t="s">
        <v>136</v>
      </c>
      <c r="C1547" s="22">
        <v>46147</v>
      </c>
      <c r="D1547" s="23">
        <v>28069</v>
      </c>
    </row>
    <row r="1548" spans="1:4">
      <c r="A1548" t="s">
        <v>26</v>
      </c>
      <c r="B1548" t="s">
        <v>203</v>
      </c>
      <c r="C1548" s="22">
        <v>46147</v>
      </c>
      <c r="D1548" s="23">
        <v>15143</v>
      </c>
    </row>
    <row r="1549" spans="1:4">
      <c r="A1549" t="s">
        <v>23</v>
      </c>
      <c r="B1549" t="s">
        <v>262</v>
      </c>
      <c r="C1549" s="22">
        <v>46147</v>
      </c>
      <c r="D1549" s="23">
        <v>24186</v>
      </c>
    </row>
    <row r="1550" spans="1:4">
      <c r="A1550" t="s">
        <v>22</v>
      </c>
      <c r="B1550" t="s">
        <v>165</v>
      </c>
      <c r="C1550" s="22">
        <v>46147</v>
      </c>
      <c r="D1550" s="23">
        <v>46436</v>
      </c>
    </row>
    <row r="1551" spans="1:4">
      <c r="A1551" t="s">
        <v>20</v>
      </c>
      <c r="B1551" t="s">
        <v>189</v>
      </c>
      <c r="C1551" s="22">
        <v>46147</v>
      </c>
      <c r="D1551" s="23">
        <v>29040</v>
      </c>
    </row>
    <row r="1552" spans="1:4">
      <c r="A1552" t="s">
        <v>20</v>
      </c>
      <c r="B1552" t="s">
        <v>126</v>
      </c>
      <c r="C1552" s="22">
        <v>46147</v>
      </c>
      <c r="D1552" s="23">
        <v>28027</v>
      </c>
    </row>
    <row r="1553" spans="1:4">
      <c r="A1553" t="s">
        <v>20</v>
      </c>
      <c r="B1553" t="s">
        <v>161</v>
      </c>
      <c r="C1553" s="22">
        <v>46147</v>
      </c>
      <c r="D1553" s="23">
        <v>37113</v>
      </c>
    </row>
    <row r="1554" spans="1:4">
      <c r="A1554" t="s">
        <v>20</v>
      </c>
      <c r="B1554" t="s">
        <v>127</v>
      </c>
      <c r="C1554" s="22">
        <v>46147</v>
      </c>
      <c r="D1554" s="23">
        <v>38298</v>
      </c>
    </row>
    <row r="1555" spans="1:4">
      <c r="A1555" t="s">
        <v>20</v>
      </c>
      <c r="B1555" t="s">
        <v>191</v>
      </c>
      <c r="C1555" s="22">
        <v>46147</v>
      </c>
      <c r="D1555" s="23">
        <v>58305</v>
      </c>
    </row>
    <row r="1556" spans="1:4">
      <c r="A1556" t="s">
        <v>18</v>
      </c>
      <c r="B1556" t="s">
        <v>171</v>
      </c>
      <c r="C1556" s="22">
        <v>46147</v>
      </c>
      <c r="D1556" s="23">
        <v>29737</v>
      </c>
    </row>
    <row r="1557" spans="1:4">
      <c r="A1557" t="s">
        <v>18</v>
      </c>
      <c r="B1557" t="s">
        <v>57</v>
      </c>
      <c r="C1557" s="22">
        <v>46147</v>
      </c>
      <c r="D1557" s="23">
        <v>40909</v>
      </c>
    </row>
    <row r="1558" spans="1:4">
      <c r="A1558" t="s">
        <v>18</v>
      </c>
      <c r="B1558" t="s">
        <v>173</v>
      </c>
      <c r="C1558" s="22">
        <v>46147</v>
      </c>
      <c r="D1558" s="23">
        <v>37208</v>
      </c>
    </row>
    <row r="1559" spans="1:4">
      <c r="A1559" t="s">
        <v>18</v>
      </c>
      <c r="B1559" t="s">
        <v>97</v>
      </c>
      <c r="C1559" s="22">
        <v>46147</v>
      </c>
      <c r="D1559" s="23">
        <v>46500</v>
      </c>
    </row>
    <row r="1560" spans="1:4">
      <c r="A1560" t="s">
        <v>31</v>
      </c>
      <c r="B1560" t="s">
        <v>49</v>
      </c>
      <c r="C1560" s="22">
        <v>46148</v>
      </c>
      <c r="D1560" s="23">
        <v>16667</v>
      </c>
    </row>
    <row r="1561" spans="1:4">
      <c r="A1561" t="s">
        <v>25</v>
      </c>
      <c r="B1561" t="s">
        <v>132</v>
      </c>
      <c r="C1561" s="22">
        <v>46148</v>
      </c>
      <c r="D1561" s="23">
        <v>14865</v>
      </c>
    </row>
    <row r="1562" spans="1:4">
      <c r="A1562" t="s">
        <v>23</v>
      </c>
      <c r="B1562" t="s">
        <v>221</v>
      </c>
      <c r="C1562" s="22">
        <v>46148</v>
      </c>
      <c r="D1562" s="23">
        <v>21430</v>
      </c>
    </row>
    <row r="1563" spans="1:4">
      <c r="A1563" t="s">
        <v>20</v>
      </c>
      <c r="B1563" t="s">
        <v>104</v>
      </c>
      <c r="C1563" s="22">
        <v>46148</v>
      </c>
      <c r="D1563" s="23">
        <v>38770</v>
      </c>
    </row>
    <row r="1564" spans="1:4">
      <c r="A1564" t="s">
        <v>18</v>
      </c>
      <c r="B1564" t="s">
        <v>224</v>
      </c>
      <c r="C1564" s="22">
        <v>46148</v>
      </c>
      <c r="D1564" s="23">
        <v>53409</v>
      </c>
    </row>
    <row r="1565" spans="1:4">
      <c r="A1565" t="s">
        <v>28</v>
      </c>
      <c r="B1565" t="s">
        <v>201</v>
      </c>
      <c r="C1565" s="22">
        <v>46149</v>
      </c>
      <c r="D1565" s="23">
        <v>15376</v>
      </c>
    </row>
    <row r="1566" spans="1:4">
      <c r="A1566" t="s">
        <v>21</v>
      </c>
      <c r="B1566" t="s">
        <v>226</v>
      </c>
      <c r="C1566" s="22">
        <v>46149</v>
      </c>
      <c r="D1566" s="23">
        <v>38901</v>
      </c>
    </row>
    <row r="1567" spans="1:4">
      <c r="A1567" t="s">
        <v>27</v>
      </c>
      <c r="B1567" t="s">
        <v>243</v>
      </c>
      <c r="C1567" s="22">
        <v>46149</v>
      </c>
      <c r="D1567" s="23">
        <v>9670</v>
      </c>
    </row>
    <row r="1568" spans="1:4">
      <c r="A1568" t="s">
        <v>25</v>
      </c>
      <c r="B1568" t="s">
        <v>275</v>
      </c>
      <c r="C1568" s="22">
        <v>46149</v>
      </c>
      <c r="D1568" s="23">
        <v>36063</v>
      </c>
    </row>
    <row r="1569" spans="1:4">
      <c r="A1569" t="s">
        <v>22</v>
      </c>
      <c r="B1569" t="s">
        <v>238</v>
      </c>
      <c r="C1569" s="22">
        <v>46149</v>
      </c>
      <c r="D1569" s="23">
        <v>18583</v>
      </c>
    </row>
    <row r="1570" spans="1:4">
      <c r="A1570" t="s">
        <v>20</v>
      </c>
      <c r="B1570" t="s">
        <v>161</v>
      </c>
      <c r="C1570" s="22">
        <v>46149</v>
      </c>
      <c r="D1570" s="23">
        <v>23856</v>
      </c>
    </row>
    <row r="1571" spans="1:4">
      <c r="A1571" t="s">
        <v>18</v>
      </c>
      <c r="B1571" t="s">
        <v>54</v>
      </c>
      <c r="C1571" s="22">
        <v>46149</v>
      </c>
      <c r="D1571" s="23">
        <v>46195</v>
      </c>
    </row>
    <row r="1572" spans="1:4">
      <c r="A1572" t="s">
        <v>18</v>
      </c>
      <c r="B1572" t="s">
        <v>93</v>
      </c>
      <c r="C1572" s="22">
        <v>46149</v>
      </c>
      <c r="D1572" s="23">
        <v>31211</v>
      </c>
    </row>
    <row r="1573" spans="1:4">
      <c r="A1573" t="s">
        <v>18</v>
      </c>
      <c r="B1573" t="s">
        <v>85</v>
      </c>
      <c r="C1573" s="22">
        <v>46149</v>
      </c>
      <c r="D1573" s="23">
        <v>39061</v>
      </c>
    </row>
    <row r="1574" spans="1:4">
      <c r="A1574" t="s">
        <v>37</v>
      </c>
      <c r="B1574" t="s">
        <v>269</v>
      </c>
      <c r="C1574" s="22">
        <v>46150</v>
      </c>
      <c r="D1574" s="23">
        <v>13286</v>
      </c>
    </row>
    <row r="1575" spans="1:4">
      <c r="A1575" t="s">
        <v>21</v>
      </c>
      <c r="B1575" t="s">
        <v>259</v>
      </c>
      <c r="C1575" s="22">
        <v>46150</v>
      </c>
      <c r="D1575" s="23">
        <v>27234</v>
      </c>
    </row>
    <row r="1576" spans="1:4">
      <c r="A1576" t="s">
        <v>21</v>
      </c>
      <c r="B1576" t="s">
        <v>98</v>
      </c>
      <c r="C1576" s="22">
        <v>46150</v>
      </c>
      <c r="D1576" s="23">
        <v>36440</v>
      </c>
    </row>
    <row r="1577" spans="1:4">
      <c r="A1577" t="s">
        <v>21</v>
      </c>
      <c r="B1577" t="s">
        <v>131</v>
      </c>
      <c r="C1577" s="22">
        <v>46150</v>
      </c>
      <c r="D1577" s="23">
        <v>43924</v>
      </c>
    </row>
    <row r="1578" spans="1:4">
      <c r="A1578" t="s">
        <v>21</v>
      </c>
      <c r="B1578" t="s">
        <v>138</v>
      </c>
      <c r="C1578" s="22">
        <v>46150</v>
      </c>
      <c r="D1578" s="23">
        <v>48532</v>
      </c>
    </row>
    <row r="1579" spans="1:4">
      <c r="A1579" t="s">
        <v>31</v>
      </c>
      <c r="B1579" t="s">
        <v>60</v>
      </c>
      <c r="C1579" s="22">
        <v>46150</v>
      </c>
      <c r="D1579" s="23">
        <v>13695</v>
      </c>
    </row>
    <row r="1580" spans="1:4">
      <c r="A1580" t="s">
        <v>27</v>
      </c>
      <c r="B1580" t="s">
        <v>177</v>
      </c>
      <c r="C1580" s="22">
        <v>46150</v>
      </c>
      <c r="D1580" s="23">
        <v>5200</v>
      </c>
    </row>
    <row r="1581" spans="1:4">
      <c r="A1581" t="s">
        <v>32</v>
      </c>
      <c r="B1581" t="s">
        <v>257</v>
      </c>
      <c r="C1581" s="22">
        <v>46150</v>
      </c>
      <c r="D1581" s="23">
        <v>5588</v>
      </c>
    </row>
    <row r="1582" spans="1:4">
      <c r="A1582" t="s">
        <v>32</v>
      </c>
      <c r="B1582" t="s">
        <v>50</v>
      </c>
      <c r="C1582" s="22">
        <v>46150</v>
      </c>
      <c r="D1582" s="23">
        <v>5200</v>
      </c>
    </row>
    <row r="1583" spans="1:4">
      <c r="A1583" t="s">
        <v>23</v>
      </c>
      <c r="B1583" t="s">
        <v>87</v>
      </c>
      <c r="C1583" s="22">
        <v>46150</v>
      </c>
      <c r="D1583" s="23">
        <v>31428</v>
      </c>
    </row>
    <row r="1584" spans="1:4">
      <c r="A1584" t="s">
        <v>23</v>
      </c>
      <c r="B1584" t="s">
        <v>234</v>
      </c>
      <c r="C1584" s="22">
        <v>46150</v>
      </c>
      <c r="D1584" s="23">
        <v>23219</v>
      </c>
    </row>
    <row r="1585" spans="1:4">
      <c r="A1585" t="s">
        <v>29</v>
      </c>
      <c r="B1585" t="s">
        <v>141</v>
      </c>
      <c r="C1585" s="22">
        <v>46150</v>
      </c>
      <c r="D1585" s="23">
        <v>11914</v>
      </c>
    </row>
    <row r="1586" spans="1:4">
      <c r="A1586" t="s">
        <v>22</v>
      </c>
      <c r="B1586" t="s">
        <v>167</v>
      </c>
      <c r="C1586" s="22">
        <v>46150</v>
      </c>
      <c r="D1586" s="23">
        <v>24508</v>
      </c>
    </row>
    <row r="1587" spans="1:4">
      <c r="A1587" t="s">
        <v>22</v>
      </c>
      <c r="B1587" t="s">
        <v>135</v>
      </c>
      <c r="C1587" s="22">
        <v>46150</v>
      </c>
      <c r="D1587" s="23">
        <v>37522</v>
      </c>
    </row>
    <row r="1588" spans="1:4">
      <c r="A1588" t="s">
        <v>22</v>
      </c>
      <c r="B1588" t="s">
        <v>280</v>
      </c>
      <c r="C1588" s="22">
        <v>46150</v>
      </c>
      <c r="D1588" s="23">
        <v>26843</v>
      </c>
    </row>
    <row r="1589" spans="1:4">
      <c r="A1589" t="s">
        <v>18</v>
      </c>
      <c r="B1589" t="s">
        <v>55</v>
      </c>
      <c r="C1589" s="22">
        <v>46150</v>
      </c>
      <c r="D1589" s="23">
        <v>37511</v>
      </c>
    </row>
    <row r="1590" spans="1:4">
      <c r="A1590" t="s">
        <v>18</v>
      </c>
      <c r="B1590" t="s">
        <v>200</v>
      </c>
      <c r="C1590" s="22">
        <v>46150</v>
      </c>
      <c r="D1590" s="23">
        <v>48205</v>
      </c>
    </row>
    <row r="1591" spans="1:4">
      <c r="A1591" t="s">
        <v>18</v>
      </c>
      <c r="B1591" t="s">
        <v>56</v>
      </c>
      <c r="C1591" s="22">
        <v>46150</v>
      </c>
      <c r="D1591" s="23">
        <v>44709</v>
      </c>
    </row>
    <row r="1592" spans="1:4">
      <c r="A1592" t="s">
        <v>18</v>
      </c>
      <c r="B1592" t="s">
        <v>96</v>
      </c>
      <c r="C1592" s="22">
        <v>46150</v>
      </c>
      <c r="D1592" s="23">
        <v>33360</v>
      </c>
    </row>
    <row r="1593" spans="1:4">
      <c r="A1593" t="s">
        <v>18</v>
      </c>
      <c r="B1593" t="s">
        <v>58</v>
      </c>
      <c r="C1593" s="22">
        <v>46150</v>
      </c>
      <c r="D1593" s="23">
        <v>36662</v>
      </c>
    </row>
    <row r="1594" spans="1:4">
      <c r="A1594" t="s">
        <v>18</v>
      </c>
      <c r="B1594" t="s">
        <v>53</v>
      </c>
      <c r="C1594" s="22">
        <v>46150</v>
      </c>
      <c r="D1594" s="23">
        <v>33483</v>
      </c>
    </row>
    <row r="1595" spans="1:4">
      <c r="A1595" t="s">
        <v>18</v>
      </c>
      <c r="B1595" t="s">
        <v>159</v>
      </c>
      <c r="C1595" s="22">
        <v>46150</v>
      </c>
      <c r="D1595" s="23">
        <v>39962</v>
      </c>
    </row>
    <row r="1596" spans="1:4">
      <c r="A1596" t="s">
        <v>18</v>
      </c>
      <c r="B1596" t="s">
        <v>224</v>
      </c>
      <c r="C1596" s="22">
        <v>46150</v>
      </c>
      <c r="D1596" s="23">
        <v>42493</v>
      </c>
    </row>
    <row r="1597" spans="1:4">
      <c r="A1597" t="s">
        <v>18</v>
      </c>
      <c r="B1597" t="s">
        <v>107</v>
      </c>
      <c r="C1597" s="22">
        <v>46150</v>
      </c>
      <c r="D1597" s="23">
        <v>37101</v>
      </c>
    </row>
    <row r="1598" spans="1:4">
      <c r="A1598" t="s">
        <v>18</v>
      </c>
      <c r="B1598" t="s">
        <v>107</v>
      </c>
      <c r="C1598" s="22">
        <v>46150</v>
      </c>
      <c r="D1598" s="23">
        <v>29170</v>
      </c>
    </row>
    <row r="1599" spans="1:4">
      <c r="A1599" t="s">
        <v>21</v>
      </c>
      <c r="B1599" t="s">
        <v>85</v>
      </c>
      <c r="C1599" s="22">
        <v>46151</v>
      </c>
      <c r="D1599" s="23">
        <v>40174</v>
      </c>
    </row>
    <row r="1600" spans="1:4">
      <c r="A1600" t="s">
        <v>21</v>
      </c>
      <c r="B1600" t="s">
        <v>140</v>
      </c>
      <c r="C1600" s="22">
        <v>46151</v>
      </c>
      <c r="D1600" s="23">
        <v>36568</v>
      </c>
    </row>
    <row r="1601" spans="1:4">
      <c r="A1601" t="s">
        <v>23</v>
      </c>
      <c r="B1601" t="s">
        <v>184</v>
      </c>
      <c r="C1601" s="22">
        <v>46151</v>
      </c>
      <c r="D1601" s="23">
        <v>33754</v>
      </c>
    </row>
    <row r="1602" spans="1:4">
      <c r="A1602" t="s">
        <v>22</v>
      </c>
      <c r="B1602" t="s">
        <v>268</v>
      </c>
      <c r="C1602" s="22">
        <v>46151</v>
      </c>
      <c r="D1602" s="23">
        <v>18033</v>
      </c>
    </row>
    <row r="1603" spans="1:4">
      <c r="A1603" t="s">
        <v>20</v>
      </c>
      <c r="B1603" t="s">
        <v>90</v>
      </c>
      <c r="C1603" s="22">
        <v>46151</v>
      </c>
      <c r="D1603" s="23">
        <v>26611</v>
      </c>
    </row>
    <row r="1604" spans="1:4">
      <c r="A1604" t="s">
        <v>18</v>
      </c>
      <c r="B1604" t="s">
        <v>139</v>
      </c>
      <c r="C1604" s="22">
        <v>46151</v>
      </c>
      <c r="D1604" s="23">
        <v>32943</v>
      </c>
    </row>
    <row r="1605" spans="1:4">
      <c r="A1605" t="s">
        <v>18</v>
      </c>
      <c r="B1605" t="s">
        <v>159</v>
      </c>
      <c r="C1605" s="22">
        <v>46151</v>
      </c>
      <c r="D1605" s="23">
        <v>39263</v>
      </c>
    </row>
    <row r="1606" spans="1:4">
      <c r="A1606" t="s">
        <v>18</v>
      </c>
      <c r="B1606" t="s">
        <v>71</v>
      </c>
      <c r="C1606" s="22">
        <v>46151</v>
      </c>
      <c r="D1606" s="23">
        <v>42592</v>
      </c>
    </row>
    <row r="1607" spans="1:4">
      <c r="A1607" t="s">
        <v>28</v>
      </c>
      <c r="B1607" t="s">
        <v>256</v>
      </c>
      <c r="C1607" s="22">
        <v>46152</v>
      </c>
      <c r="D1607" s="23">
        <v>16529</v>
      </c>
    </row>
    <row r="1608" spans="1:4">
      <c r="A1608" t="s">
        <v>21</v>
      </c>
      <c r="B1608" t="s">
        <v>147</v>
      </c>
      <c r="C1608" s="22">
        <v>46152</v>
      </c>
      <c r="D1608" s="23">
        <v>8465</v>
      </c>
    </row>
    <row r="1609" spans="1:4">
      <c r="A1609" t="s">
        <v>21</v>
      </c>
      <c r="B1609" t="s">
        <v>53</v>
      </c>
      <c r="C1609" s="22">
        <v>46152</v>
      </c>
      <c r="D1609" s="23">
        <v>27690</v>
      </c>
    </row>
    <row r="1610" spans="1:4">
      <c r="A1610" t="s">
        <v>22</v>
      </c>
      <c r="B1610" t="s">
        <v>231</v>
      </c>
      <c r="C1610" s="22">
        <v>46152</v>
      </c>
      <c r="D1610" s="23">
        <v>24925</v>
      </c>
    </row>
    <row r="1611" spans="1:4">
      <c r="A1611" t="s">
        <v>20</v>
      </c>
      <c r="B1611" t="s">
        <v>89</v>
      </c>
      <c r="C1611" s="22">
        <v>46152</v>
      </c>
      <c r="D1611" s="23">
        <v>32714</v>
      </c>
    </row>
    <row r="1612" spans="1:4">
      <c r="A1612" t="s">
        <v>18</v>
      </c>
      <c r="B1612" t="s">
        <v>92</v>
      </c>
      <c r="C1612" s="22">
        <v>46152</v>
      </c>
      <c r="D1612" s="23">
        <v>50039</v>
      </c>
    </row>
    <row r="1613" spans="1:4">
      <c r="A1613" t="s">
        <v>28</v>
      </c>
      <c r="B1613" t="s">
        <v>202</v>
      </c>
      <c r="C1613" s="22">
        <v>46153</v>
      </c>
      <c r="D1613" s="23">
        <v>22282</v>
      </c>
    </row>
    <row r="1614" spans="1:4">
      <c r="A1614" t="s">
        <v>21</v>
      </c>
      <c r="B1614" t="s">
        <v>259</v>
      </c>
      <c r="C1614" s="22">
        <v>46153</v>
      </c>
      <c r="D1614" s="23">
        <v>26184</v>
      </c>
    </row>
    <row r="1615" spans="1:4">
      <c r="A1615" t="s">
        <v>21</v>
      </c>
      <c r="B1615" t="s">
        <v>148</v>
      </c>
      <c r="C1615" s="22">
        <v>46153</v>
      </c>
      <c r="D1615" s="23">
        <v>39800</v>
      </c>
    </row>
    <row r="1616" spans="1:4">
      <c r="A1616" t="s">
        <v>26</v>
      </c>
      <c r="B1616" t="s">
        <v>270</v>
      </c>
      <c r="C1616" s="22">
        <v>46153</v>
      </c>
      <c r="D1616" s="23">
        <v>36038</v>
      </c>
    </row>
    <row r="1617" spans="1:4">
      <c r="A1617" t="s">
        <v>26</v>
      </c>
      <c r="B1617" t="s">
        <v>217</v>
      </c>
      <c r="C1617" s="22">
        <v>46153</v>
      </c>
      <c r="D1617" s="23">
        <v>16660</v>
      </c>
    </row>
    <row r="1618" spans="1:4">
      <c r="A1618" t="s">
        <v>34</v>
      </c>
      <c r="B1618" t="s">
        <v>51</v>
      </c>
      <c r="C1618" s="22">
        <v>46153</v>
      </c>
      <c r="D1618" s="23">
        <v>24482</v>
      </c>
    </row>
    <row r="1619" spans="1:4">
      <c r="A1619" t="s">
        <v>22</v>
      </c>
      <c r="B1619" t="s">
        <v>133</v>
      </c>
      <c r="C1619" s="22">
        <v>46153</v>
      </c>
      <c r="D1619" s="23">
        <v>25593</v>
      </c>
    </row>
    <row r="1620" spans="1:4">
      <c r="A1620" t="s">
        <v>20</v>
      </c>
      <c r="B1620" t="s">
        <v>168</v>
      </c>
      <c r="C1620" s="22">
        <v>46153</v>
      </c>
      <c r="D1620" s="23">
        <v>33901</v>
      </c>
    </row>
    <row r="1621" spans="1:4">
      <c r="A1621" t="s">
        <v>20</v>
      </c>
      <c r="B1621" t="s">
        <v>230</v>
      </c>
      <c r="C1621" s="22">
        <v>46153</v>
      </c>
      <c r="D1621" s="23">
        <v>35298</v>
      </c>
    </row>
    <row r="1622" spans="1:4">
      <c r="A1622" t="s">
        <v>20</v>
      </c>
      <c r="B1622" t="s">
        <v>107</v>
      </c>
      <c r="C1622" s="22">
        <v>46153</v>
      </c>
      <c r="D1622" s="23">
        <v>43038</v>
      </c>
    </row>
    <row r="1623" spans="1:4">
      <c r="A1623" t="s">
        <v>20</v>
      </c>
      <c r="B1623" t="s">
        <v>82</v>
      </c>
      <c r="C1623" s="22">
        <v>46153</v>
      </c>
      <c r="D1623" s="23">
        <v>28864</v>
      </c>
    </row>
    <row r="1624" spans="1:4">
      <c r="A1624" t="s">
        <v>18</v>
      </c>
      <c r="B1624" t="s">
        <v>59</v>
      </c>
      <c r="C1624" s="22">
        <v>46153</v>
      </c>
      <c r="D1624" s="23">
        <v>49055</v>
      </c>
    </row>
    <row r="1625" spans="1:4">
      <c r="A1625" t="s">
        <v>18</v>
      </c>
      <c r="B1625" t="s">
        <v>58</v>
      </c>
      <c r="C1625" s="22">
        <v>46153</v>
      </c>
      <c r="D1625" s="23">
        <v>50498</v>
      </c>
    </row>
    <row r="1626" spans="1:4">
      <c r="A1626" t="s">
        <v>18</v>
      </c>
      <c r="B1626" t="s">
        <v>71</v>
      </c>
      <c r="C1626" s="22">
        <v>46153</v>
      </c>
      <c r="D1626" s="23">
        <v>46592</v>
      </c>
    </row>
    <row r="1627" spans="1:4">
      <c r="A1627" t="s">
        <v>18</v>
      </c>
      <c r="B1627" t="s">
        <v>72</v>
      </c>
      <c r="C1627" s="22">
        <v>46153</v>
      </c>
      <c r="D1627" s="23">
        <v>46684</v>
      </c>
    </row>
    <row r="1628" spans="1:4">
      <c r="A1628" t="s">
        <v>18</v>
      </c>
      <c r="B1628" t="s">
        <v>72</v>
      </c>
      <c r="C1628" s="22">
        <v>46153</v>
      </c>
      <c r="D1628" s="23">
        <v>62441</v>
      </c>
    </row>
    <row r="1629" spans="1:4">
      <c r="A1629" t="s">
        <v>21</v>
      </c>
      <c r="B1629" t="s">
        <v>251</v>
      </c>
      <c r="C1629" s="22">
        <v>46154</v>
      </c>
      <c r="D1629" s="23">
        <v>40315</v>
      </c>
    </row>
    <row r="1630" spans="1:4">
      <c r="A1630" t="s">
        <v>21</v>
      </c>
      <c r="B1630" t="s">
        <v>219</v>
      </c>
      <c r="C1630" s="22">
        <v>46154</v>
      </c>
      <c r="D1630" s="23">
        <v>30805</v>
      </c>
    </row>
    <row r="1631" spans="1:4">
      <c r="A1631" t="s">
        <v>26</v>
      </c>
      <c r="B1631" t="s">
        <v>48</v>
      </c>
      <c r="C1631" s="22">
        <v>46154</v>
      </c>
      <c r="D1631" s="23">
        <v>19040</v>
      </c>
    </row>
    <row r="1632" spans="1:4">
      <c r="A1632" t="s">
        <v>31</v>
      </c>
      <c r="B1632" t="s">
        <v>111</v>
      </c>
      <c r="C1632" s="22">
        <v>46154</v>
      </c>
      <c r="D1632" s="23">
        <v>11751</v>
      </c>
    </row>
    <row r="1633" spans="1:4">
      <c r="A1633" t="s">
        <v>27</v>
      </c>
      <c r="B1633" t="s">
        <v>247</v>
      </c>
      <c r="C1633" s="22">
        <v>46154</v>
      </c>
      <c r="D1633" s="23">
        <v>14556</v>
      </c>
    </row>
    <row r="1634" spans="1:4">
      <c r="A1634" t="s">
        <v>23</v>
      </c>
      <c r="B1634" t="s">
        <v>77</v>
      </c>
      <c r="C1634" s="22">
        <v>46154</v>
      </c>
      <c r="D1634" s="23">
        <v>22998</v>
      </c>
    </row>
    <row r="1635" spans="1:4">
      <c r="A1635" t="s">
        <v>23</v>
      </c>
      <c r="B1635" t="s">
        <v>258</v>
      </c>
      <c r="C1635" s="22">
        <v>46154</v>
      </c>
      <c r="D1635" s="23">
        <v>16000</v>
      </c>
    </row>
    <row r="1636" spans="1:4">
      <c r="A1636" t="s">
        <v>20</v>
      </c>
      <c r="B1636" t="s">
        <v>170</v>
      </c>
      <c r="C1636" s="22">
        <v>46154</v>
      </c>
      <c r="D1636" s="23">
        <v>42278</v>
      </c>
    </row>
    <row r="1637" spans="1:4">
      <c r="A1637" t="s">
        <v>20</v>
      </c>
      <c r="B1637" t="s">
        <v>82</v>
      </c>
      <c r="C1637" s="22">
        <v>46154</v>
      </c>
      <c r="D1637" s="23">
        <v>39337</v>
      </c>
    </row>
    <row r="1638" spans="1:4">
      <c r="A1638" t="s">
        <v>18</v>
      </c>
      <c r="B1638" t="s">
        <v>105</v>
      </c>
      <c r="C1638" s="22">
        <v>46154</v>
      </c>
      <c r="D1638" s="23">
        <v>20382</v>
      </c>
    </row>
    <row r="1639" spans="1:4">
      <c r="A1639" t="s">
        <v>18</v>
      </c>
      <c r="B1639" t="s">
        <v>84</v>
      </c>
      <c r="C1639" s="22">
        <v>46154</v>
      </c>
      <c r="D1639" s="23">
        <v>23886</v>
      </c>
    </row>
    <row r="1640" spans="1:4">
      <c r="A1640" t="s">
        <v>18</v>
      </c>
      <c r="B1640" t="s">
        <v>85</v>
      </c>
      <c r="C1640" s="22">
        <v>46154</v>
      </c>
      <c r="D1640" s="23">
        <v>38494</v>
      </c>
    </row>
    <row r="1641" spans="1:4">
      <c r="A1641" t="s">
        <v>18</v>
      </c>
      <c r="B1641" t="s">
        <v>192</v>
      </c>
      <c r="C1641" s="22">
        <v>46154</v>
      </c>
      <c r="D1641" s="23">
        <v>53260</v>
      </c>
    </row>
    <row r="1642" spans="1:4">
      <c r="A1642" t="s">
        <v>37</v>
      </c>
      <c r="B1642" t="s">
        <v>73</v>
      </c>
      <c r="C1642" s="22">
        <v>46155</v>
      </c>
      <c r="D1642" s="23">
        <v>15076</v>
      </c>
    </row>
    <row r="1643" spans="1:4">
      <c r="A1643" t="s">
        <v>21</v>
      </c>
      <c r="B1643" t="s">
        <v>130</v>
      </c>
      <c r="C1643" s="22">
        <v>46155</v>
      </c>
      <c r="D1643" s="23">
        <v>37008</v>
      </c>
    </row>
    <row r="1644" spans="1:4">
      <c r="A1644" t="s">
        <v>33</v>
      </c>
      <c r="B1644" t="s">
        <v>241</v>
      </c>
      <c r="C1644" s="22">
        <v>46155</v>
      </c>
      <c r="D1644" s="23">
        <v>11319</v>
      </c>
    </row>
    <row r="1645" spans="1:4">
      <c r="A1645" t="s">
        <v>25</v>
      </c>
      <c r="B1645" t="s">
        <v>76</v>
      </c>
      <c r="C1645" s="22">
        <v>46155</v>
      </c>
      <c r="D1645" s="23">
        <v>16958</v>
      </c>
    </row>
    <row r="1646" spans="1:4">
      <c r="A1646" t="s">
        <v>23</v>
      </c>
      <c r="B1646" t="s">
        <v>182</v>
      </c>
      <c r="C1646" s="22">
        <v>46155</v>
      </c>
      <c r="D1646" s="23">
        <v>24707</v>
      </c>
    </row>
    <row r="1647" spans="1:4">
      <c r="A1647" t="s">
        <v>35</v>
      </c>
      <c r="B1647" t="s">
        <v>196</v>
      </c>
      <c r="C1647" s="22">
        <v>46155</v>
      </c>
      <c r="D1647" s="23">
        <v>14299</v>
      </c>
    </row>
    <row r="1648" spans="1:4">
      <c r="A1648" t="s">
        <v>20</v>
      </c>
      <c r="B1648" t="s">
        <v>64</v>
      </c>
      <c r="C1648" s="22">
        <v>46155</v>
      </c>
      <c r="D1648" s="23">
        <v>34640</v>
      </c>
    </row>
    <row r="1649" spans="1:4">
      <c r="A1649" t="s">
        <v>18</v>
      </c>
      <c r="B1649" t="s">
        <v>172</v>
      </c>
      <c r="C1649" s="22">
        <v>46155</v>
      </c>
      <c r="D1649" s="23">
        <v>50174</v>
      </c>
    </row>
    <row r="1650" spans="1:4">
      <c r="A1650" t="s">
        <v>18</v>
      </c>
      <c r="B1650" t="s">
        <v>173</v>
      </c>
      <c r="C1650" s="22">
        <v>46155</v>
      </c>
      <c r="D1650" s="23">
        <v>29955</v>
      </c>
    </row>
    <row r="1651" spans="1:4">
      <c r="A1651" t="s">
        <v>21</v>
      </c>
      <c r="B1651" t="s">
        <v>240</v>
      </c>
      <c r="C1651" s="22">
        <v>46156</v>
      </c>
      <c r="D1651" s="23">
        <v>25413</v>
      </c>
    </row>
    <row r="1652" spans="1:4">
      <c r="A1652" t="s">
        <v>21</v>
      </c>
      <c r="B1652" t="s">
        <v>237</v>
      </c>
      <c r="C1652" s="22">
        <v>46156</v>
      </c>
      <c r="D1652" s="23">
        <v>21550</v>
      </c>
    </row>
    <row r="1653" spans="1:4">
      <c r="A1653" t="s">
        <v>27</v>
      </c>
      <c r="B1653" t="s">
        <v>152</v>
      </c>
      <c r="C1653" s="22">
        <v>46156</v>
      </c>
      <c r="D1653" s="23">
        <v>16283</v>
      </c>
    </row>
    <row r="1654" spans="1:4">
      <c r="A1654" t="s">
        <v>27</v>
      </c>
      <c r="B1654" t="s">
        <v>120</v>
      </c>
      <c r="C1654" s="22">
        <v>46156</v>
      </c>
      <c r="D1654" s="23">
        <v>18332</v>
      </c>
    </row>
    <row r="1655" spans="1:4">
      <c r="A1655" t="s">
        <v>23</v>
      </c>
      <c r="B1655" t="s">
        <v>78</v>
      </c>
      <c r="C1655" s="22">
        <v>46156</v>
      </c>
      <c r="D1655" s="23">
        <v>37840</v>
      </c>
    </row>
    <row r="1656" spans="1:4">
      <c r="A1656" t="s">
        <v>20</v>
      </c>
      <c r="B1656" t="s">
        <v>102</v>
      </c>
      <c r="C1656" s="22">
        <v>46156</v>
      </c>
      <c r="D1656" s="23">
        <v>46488</v>
      </c>
    </row>
    <row r="1657" spans="1:4">
      <c r="A1657" t="s">
        <v>20</v>
      </c>
      <c r="B1657" t="s">
        <v>128</v>
      </c>
      <c r="C1657" s="22">
        <v>46156</v>
      </c>
      <c r="D1657" s="23">
        <v>46004</v>
      </c>
    </row>
    <row r="1658" spans="1:4">
      <c r="A1658" t="s">
        <v>18</v>
      </c>
      <c r="B1658" t="s">
        <v>55</v>
      </c>
      <c r="C1658" s="22">
        <v>46156</v>
      </c>
      <c r="D1658" s="23">
        <v>46295</v>
      </c>
    </row>
    <row r="1659" spans="1:4">
      <c r="A1659" t="s">
        <v>18</v>
      </c>
      <c r="B1659" t="s">
        <v>71</v>
      </c>
      <c r="C1659" s="22">
        <v>46156</v>
      </c>
      <c r="D1659" s="23">
        <v>36991</v>
      </c>
    </row>
    <row r="1660" spans="1:4">
      <c r="A1660" t="s">
        <v>21</v>
      </c>
      <c r="B1660" t="s">
        <v>277</v>
      </c>
      <c r="C1660" s="22">
        <v>46157</v>
      </c>
      <c r="D1660" s="23">
        <v>30533</v>
      </c>
    </row>
    <row r="1661" spans="1:4">
      <c r="A1661" t="s">
        <v>25</v>
      </c>
      <c r="B1661" t="s">
        <v>112</v>
      </c>
      <c r="C1661" s="22">
        <v>46157</v>
      </c>
      <c r="D1661" s="23">
        <v>28010</v>
      </c>
    </row>
    <row r="1662" spans="1:4">
      <c r="A1662" t="s">
        <v>22</v>
      </c>
      <c r="B1662" t="s">
        <v>271</v>
      </c>
      <c r="C1662" s="22">
        <v>46157</v>
      </c>
      <c r="D1662" s="23">
        <v>28408</v>
      </c>
    </row>
    <row r="1663" spans="1:4">
      <c r="A1663" t="s">
        <v>20</v>
      </c>
      <c r="B1663" t="s">
        <v>230</v>
      </c>
      <c r="C1663" s="22">
        <v>46157</v>
      </c>
      <c r="D1663" s="23">
        <v>41813</v>
      </c>
    </row>
    <row r="1664" spans="1:4">
      <c r="A1664" t="s">
        <v>20</v>
      </c>
      <c r="B1664" t="s">
        <v>104</v>
      </c>
      <c r="C1664" s="22">
        <v>46157</v>
      </c>
      <c r="D1664" s="23">
        <v>40225</v>
      </c>
    </row>
    <row r="1665" spans="1:4">
      <c r="A1665" t="s">
        <v>20</v>
      </c>
      <c r="B1665" t="s">
        <v>214</v>
      </c>
      <c r="C1665" s="22">
        <v>46157</v>
      </c>
      <c r="D1665" s="23">
        <v>18195</v>
      </c>
    </row>
    <row r="1666" spans="1:4">
      <c r="A1666" t="s">
        <v>18</v>
      </c>
      <c r="B1666" t="s">
        <v>260</v>
      </c>
      <c r="C1666" s="22">
        <v>46157</v>
      </c>
      <c r="D1666" s="23">
        <v>45016</v>
      </c>
    </row>
    <row r="1667" spans="1:4">
      <c r="A1667" t="s">
        <v>18</v>
      </c>
      <c r="B1667" t="s">
        <v>128</v>
      </c>
      <c r="C1667" s="22">
        <v>46157</v>
      </c>
      <c r="D1667" s="23">
        <v>53769</v>
      </c>
    </row>
    <row r="1668" spans="1:4">
      <c r="A1668" t="s">
        <v>26</v>
      </c>
      <c r="B1668" t="s">
        <v>255</v>
      </c>
      <c r="C1668" s="22">
        <v>46158</v>
      </c>
      <c r="D1668" s="23">
        <v>5200</v>
      </c>
    </row>
    <row r="1669" spans="1:4">
      <c r="A1669" t="s">
        <v>25</v>
      </c>
      <c r="B1669" t="s">
        <v>274</v>
      </c>
      <c r="C1669" s="22">
        <v>46158</v>
      </c>
      <c r="D1669" s="23">
        <v>18732</v>
      </c>
    </row>
    <row r="1670" spans="1:4">
      <c r="A1670" t="s">
        <v>36</v>
      </c>
      <c r="B1670" t="s">
        <v>121</v>
      </c>
      <c r="C1670" s="22">
        <v>46158</v>
      </c>
      <c r="D1670" s="23">
        <v>14820</v>
      </c>
    </row>
    <row r="1671" spans="1:4">
      <c r="A1671" t="s">
        <v>20</v>
      </c>
      <c r="B1671" t="s">
        <v>272</v>
      </c>
      <c r="C1671" s="22">
        <v>46158</v>
      </c>
      <c r="D1671" s="23">
        <v>32721</v>
      </c>
    </row>
    <row r="1672" spans="1:4">
      <c r="A1672" t="s">
        <v>18</v>
      </c>
      <c r="B1672" t="s">
        <v>93</v>
      </c>
      <c r="C1672" s="22">
        <v>46158</v>
      </c>
      <c r="D1672" s="23">
        <v>40892</v>
      </c>
    </row>
    <row r="1673" spans="1:4">
      <c r="A1673" t="s">
        <v>18</v>
      </c>
      <c r="B1673" t="s">
        <v>96</v>
      </c>
      <c r="C1673" s="22">
        <v>46158</v>
      </c>
      <c r="D1673" s="23">
        <v>38738</v>
      </c>
    </row>
    <row r="1674" spans="1:4">
      <c r="A1674" t="s">
        <v>18</v>
      </c>
      <c r="B1674" t="s">
        <v>68</v>
      </c>
      <c r="C1674" s="22">
        <v>46158</v>
      </c>
      <c r="D1674" s="23">
        <v>33059</v>
      </c>
    </row>
    <row r="1675" spans="1:4">
      <c r="A1675" t="s">
        <v>18</v>
      </c>
      <c r="B1675" t="s">
        <v>71</v>
      </c>
      <c r="C1675" s="22">
        <v>46158</v>
      </c>
      <c r="D1675" s="23">
        <v>37505</v>
      </c>
    </row>
    <row r="1676" spans="1:4">
      <c r="A1676" t="s">
        <v>21</v>
      </c>
      <c r="B1676" t="s">
        <v>75</v>
      </c>
      <c r="C1676" s="22">
        <v>46159</v>
      </c>
      <c r="D1676" s="23">
        <v>42275</v>
      </c>
    </row>
    <row r="1677" spans="1:4">
      <c r="A1677" t="s">
        <v>27</v>
      </c>
      <c r="B1677" t="s">
        <v>279</v>
      </c>
      <c r="C1677" s="22">
        <v>46159</v>
      </c>
      <c r="D1677" s="23">
        <v>20080</v>
      </c>
    </row>
    <row r="1678" spans="1:4">
      <c r="A1678" t="s">
        <v>25</v>
      </c>
      <c r="B1678" t="s">
        <v>228</v>
      </c>
      <c r="C1678" s="22">
        <v>46159</v>
      </c>
      <c r="D1678" s="23">
        <v>22130</v>
      </c>
    </row>
    <row r="1679" spans="1:4">
      <c r="A1679" t="s">
        <v>23</v>
      </c>
      <c r="B1679" t="s">
        <v>264</v>
      </c>
      <c r="C1679" s="22">
        <v>46159</v>
      </c>
      <c r="D1679" s="23">
        <v>26262</v>
      </c>
    </row>
    <row r="1680" spans="1:4">
      <c r="A1680" t="s">
        <v>35</v>
      </c>
      <c r="B1680" t="s">
        <v>123</v>
      </c>
      <c r="C1680" s="22">
        <v>46159</v>
      </c>
      <c r="D1680" s="23">
        <v>14990</v>
      </c>
    </row>
    <row r="1681" spans="1:4">
      <c r="A1681" t="s">
        <v>20</v>
      </c>
      <c r="B1681" t="s">
        <v>144</v>
      </c>
      <c r="C1681" s="22">
        <v>46159</v>
      </c>
      <c r="D1681" s="23">
        <v>34596</v>
      </c>
    </row>
    <row r="1682" spans="1:4">
      <c r="A1682" t="s">
        <v>20</v>
      </c>
      <c r="B1682" t="s">
        <v>89</v>
      </c>
      <c r="C1682" s="22">
        <v>46159</v>
      </c>
      <c r="D1682" s="23">
        <v>33053</v>
      </c>
    </row>
    <row r="1683" spans="1:4">
      <c r="A1683" t="s">
        <v>20</v>
      </c>
      <c r="B1683" t="s">
        <v>215</v>
      </c>
      <c r="C1683" s="22">
        <v>46159</v>
      </c>
      <c r="D1683" s="23">
        <v>30592</v>
      </c>
    </row>
    <row r="1684" spans="1:4">
      <c r="A1684" t="s">
        <v>18</v>
      </c>
      <c r="B1684" t="s">
        <v>55</v>
      </c>
      <c r="C1684" s="22">
        <v>46159</v>
      </c>
      <c r="D1684" s="23">
        <v>42685</v>
      </c>
    </row>
    <row r="1685" spans="1:4">
      <c r="A1685" t="s">
        <v>18</v>
      </c>
      <c r="B1685" t="s">
        <v>190</v>
      </c>
      <c r="C1685" s="22">
        <v>46159</v>
      </c>
      <c r="D1685" s="23">
        <v>31878</v>
      </c>
    </row>
    <row r="1686" spans="1:4">
      <c r="A1686" t="s">
        <v>18</v>
      </c>
      <c r="B1686" t="s">
        <v>67</v>
      </c>
      <c r="C1686" s="22">
        <v>46159</v>
      </c>
      <c r="D1686" s="23">
        <v>51236</v>
      </c>
    </row>
    <row r="1687" spans="1:4">
      <c r="A1687" t="s">
        <v>18</v>
      </c>
      <c r="B1687" t="s">
        <v>224</v>
      </c>
      <c r="C1687" s="22">
        <v>46159</v>
      </c>
      <c r="D1687" s="23">
        <v>41751</v>
      </c>
    </row>
    <row r="1688" spans="1:4">
      <c r="A1688" t="s">
        <v>18</v>
      </c>
      <c r="B1688" t="s">
        <v>108</v>
      </c>
      <c r="C1688" s="22">
        <v>46159</v>
      </c>
      <c r="D1688" s="23">
        <v>38329</v>
      </c>
    </row>
    <row r="1689" spans="1:4">
      <c r="A1689" t="s">
        <v>28</v>
      </c>
      <c r="B1689" t="s">
        <v>198</v>
      </c>
      <c r="C1689" s="22">
        <v>46160</v>
      </c>
      <c r="D1689" s="23">
        <v>9926</v>
      </c>
    </row>
    <row r="1690" spans="1:4">
      <c r="A1690" t="s">
        <v>21</v>
      </c>
      <c r="B1690" t="s">
        <v>119</v>
      </c>
      <c r="C1690" s="22">
        <v>46160</v>
      </c>
      <c r="D1690" s="23">
        <v>38989</v>
      </c>
    </row>
    <row r="1691" spans="1:4">
      <c r="A1691" t="s">
        <v>31</v>
      </c>
      <c r="B1691" t="s">
        <v>273</v>
      </c>
      <c r="C1691" s="22">
        <v>46160</v>
      </c>
      <c r="D1691" s="23">
        <v>26112</v>
      </c>
    </row>
    <row r="1692" spans="1:4">
      <c r="A1692" t="s">
        <v>35</v>
      </c>
      <c r="B1692" t="s">
        <v>281</v>
      </c>
      <c r="C1692" s="22">
        <v>46160</v>
      </c>
      <c r="D1692" s="23">
        <v>30673</v>
      </c>
    </row>
    <row r="1693" spans="1:4">
      <c r="A1693" t="s">
        <v>29</v>
      </c>
      <c r="B1693" t="s">
        <v>227</v>
      </c>
      <c r="C1693" s="22">
        <v>46160</v>
      </c>
      <c r="D1693" s="23">
        <v>14095</v>
      </c>
    </row>
    <row r="1694" spans="1:4">
      <c r="A1694" t="s">
        <v>20</v>
      </c>
      <c r="B1694" t="s">
        <v>116</v>
      </c>
      <c r="C1694" s="22">
        <v>46160</v>
      </c>
      <c r="D1694" s="23">
        <v>24520</v>
      </c>
    </row>
    <row r="1695" spans="1:4">
      <c r="A1695" t="s">
        <v>20</v>
      </c>
      <c r="B1695" t="s">
        <v>104</v>
      </c>
      <c r="C1695" s="22">
        <v>46160</v>
      </c>
      <c r="D1695" s="23">
        <v>34910</v>
      </c>
    </row>
    <row r="1696" spans="1:4">
      <c r="A1696" t="s">
        <v>18</v>
      </c>
      <c r="B1696" t="s">
        <v>96</v>
      </c>
      <c r="C1696" s="22">
        <v>46160</v>
      </c>
      <c r="D1696" s="23">
        <v>29287</v>
      </c>
    </row>
    <row r="1697" spans="1:4">
      <c r="A1697" t="s">
        <v>18</v>
      </c>
      <c r="B1697" t="s">
        <v>208</v>
      </c>
      <c r="C1697" s="22">
        <v>46160</v>
      </c>
      <c r="D1697" s="23">
        <v>44234</v>
      </c>
    </row>
    <row r="1698" spans="1:4">
      <c r="A1698" t="s">
        <v>18</v>
      </c>
      <c r="B1698" t="s">
        <v>97</v>
      </c>
      <c r="C1698" s="22">
        <v>46160</v>
      </c>
      <c r="D1698" s="23">
        <v>43360</v>
      </c>
    </row>
    <row r="1699" spans="1:4">
      <c r="A1699" t="s">
        <v>28</v>
      </c>
      <c r="B1699" t="s">
        <v>216</v>
      </c>
      <c r="C1699" s="22">
        <v>46161</v>
      </c>
      <c r="D1699" s="23">
        <v>15436</v>
      </c>
    </row>
    <row r="1700" spans="1:4">
      <c r="A1700" t="s">
        <v>28</v>
      </c>
      <c r="B1700" t="s">
        <v>225</v>
      </c>
      <c r="C1700" s="22">
        <v>46161</v>
      </c>
      <c r="D1700" s="23">
        <v>17038</v>
      </c>
    </row>
    <row r="1701" spans="1:4">
      <c r="A1701" t="s">
        <v>21</v>
      </c>
      <c r="B1701" t="s">
        <v>91</v>
      </c>
      <c r="C1701" s="22">
        <v>46161</v>
      </c>
      <c r="D1701" s="23">
        <v>21684</v>
      </c>
    </row>
    <row r="1702" spans="1:4">
      <c r="A1702" t="s">
        <v>26</v>
      </c>
      <c r="B1702" t="s">
        <v>175</v>
      </c>
      <c r="C1702" s="22">
        <v>46161</v>
      </c>
      <c r="D1702" s="23">
        <v>17061</v>
      </c>
    </row>
    <row r="1703" spans="1:4">
      <c r="A1703" t="s">
        <v>32</v>
      </c>
      <c r="B1703" t="s">
        <v>178</v>
      </c>
      <c r="C1703" s="22">
        <v>46161</v>
      </c>
      <c r="D1703" s="23">
        <v>12593</v>
      </c>
    </row>
    <row r="1704" spans="1:4">
      <c r="A1704" t="s">
        <v>22</v>
      </c>
      <c r="B1704" t="s">
        <v>248</v>
      </c>
      <c r="C1704" s="22">
        <v>46161</v>
      </c>
      <c r="D1704" s="23">
        <v>26163</v>
      </c>
    </row>
    <row r="1705" spans="1:4">
      <c r="A1705" t="s">
        <v>22</v>
      </c>
      <c r="B1705" t="s">
        <v>134</v>
      </c>
      <c r="C1705" s="22">
        <v>46161</v>
      </c>
      <c r="D1705" s="23">
        <v>25250</v>
      </c>
    </row>
    <row r="1706" spans="1:4">
      <c r="A1706" t="s">
        <v>22</v>
      </c>
      <c r="B1706" t="s">
        <v>125</v>
      </c>
      <c r="C1706" s="22">
        <v>46161</v>
      </c>
      <c r="D1706" s="23">
        <v>35580</v>
      </c>
    </row>
    <row r="1707" spans="1:4">
      <c r="A1707" t="s">
        <v>22</v>
      </c>
      <c r="B1707" t="s">
        <v>143</v>
      </c>
      <c r="C1707" s="22">
        <v>46161</v>
      </c>
      <c r="D1707" s="23">
        <v>25684</v>
      </c>
    </row>
    <row r="1708" spans="1:4">
      <c r="A1708" t="s">
        <v>20</v>
      </c>
      <c r="B1708" t="s">
        <v>115</v>
      </c>
      <c r="C1708" s="22">
        <v>46161</v>
      </c>
      <c r="D1708" s="23">
        <v>42939</v>
      </c>
    </row>
    <row r="1709" spans="1:4">
      <c r="A1709" t="s">
        <v>20</v>
      </c>
      <c r="B1709" t="s">
        <v>86</v>
      </c>
      <c r="C1709" s="22">
        <v>46161</v>
      </c>
      <c r="D1709" s="23">
        <v>33333</v>
      </c>
    </row>
    <row r="1710" spans="1:4">
      <c r="A1710" t="s">
        <v>18</v>
      </c>
      <c r="B1710" t="s">
        <v>106</v>
      </c>
      <c r="C1710" s="22">
        <v>46161</v>
      </c>
      <c r="D1710" s="23">
        <v>35903</v>
      </c>
    </row>
    <row r="1711" spans="1:4">
      <c r="A1711" t="s">
        <v>18</v>
      </c>
      <c r="B1711" t="s">
        <v>64</v>
      </c>
      <c r="C1711" s="22">
        <v>46161</v>
      </c>
      <c r="D1711" s="23">
        <v>47135</v>
      </c>
    </row>
    <row r="1712" spans="1:4">
      <c r="A1712" t="s">
        <v>18</v>
      </c>
      <c r="B1712" t="s">
        <v>67</v>
      </c>
      <c r="C1712" s="22">
        <v>46161</v>
      </c>
      <c r="D1712" s="23">
        <v>35754</v>
      </c>
    </row>
    <row r="1713" spans="1:4">
      <c r="A1713" t="s">
        <v>18</v>
      </c>
      <c r="B1713" t="s">
        <v>96</v>
      </c>
      <c r="C1713" s="22">
        <v>46161</v>
      </c>
      <c r="D1713" s="23">
        <v>44535</v>
      </c>
    </row>
    <row r="1714" spans="1:4">
      <c r="A1714" t="s">
        <v>18</v>
      </c>
      <c r="B1714" t="s">
        <v>70</v>
      </c>
      <c r="C1714" s="22">
        <v>46161</v>
      </c>
      <c r="D1714" s="23">
        <v>44706</v>
      </c>
    </row>
    <row r="1715" spans="1:4">
      <c r="A1715" t="s">
        <v>18</v>
      </c>
      <c r="B1715" t="s">
        <v>108</v>
      </c>
      <c r="C1715" s="22">
        <v>46161</v>
      </c>
      <c r="D1715" s="23">
        <v>35970</v>
      </c>
    </row>
    <row r="1716" spans="1:4">
      <c r="A1716" t="s">
        <v>21</v>
      </c>
      <c r="B1716" t="s">
        <v>90</v>
      </c>
      <c r="C1716" s="22">
        <v>46162</v>
      </c>
      <c r="D1716" s="23">
        <v>37210</v>
      </c>
    </row>
    <row r="1717" spans="1:4">
      <c r="A1717" t="s">
        <v>25</v>
      </c>
      <c r="B1717" t="s">
        <v>181</v>
      </c>
      <c r="C1717" s="22">
        <v>46162</v>
      </c>
      <c r="D1717" s="23">
        <v>18970</v>
      </c>
    </row>
    <row r="1718" spans="1:4">
      <c r="A1718" t="s">
        <v>25</v>
      </c>
      <c r="B1718" t="s">
        <v>245</v>
      </c>
      <c r="C1718" s="22">
        <v>46162</v>
      </c>
      <c r="D1718" s="23">
        <v>14674</v>
      </c>
    </row>
    <row r="1719" spans="1:4">
      <c r="A1719" t="s">
        <v>23</v>
      </c>
      <c r="B1719" t="s">
        <v>212</v>
      </c>
      <c r="C1719" s="22">
        <v>46162</v>
      </c>
      <c r="D1719" s="23">
        <v>29979</v>
      </c>
    </row>
    <row r="1720" spans="1:4">
      <c r="A1720" t="s">
        <v>23</v>
      </c>
      <c r="B1720" t="s">
        <v>195</v>
      </c>
      <c r="C1720" s="22">
        <v>46162</v>
      </c>
      <c r="D1720" s="23">
        <v>19572</v>
      </c>
    </row>
    <row r="1721" spans="1:4">
      <c r="A1721" t="s">
        <v>29</v>
      </c>
      <c r="B1721" t="s">
        <v>124</v>
      </c>
      <c r="C1721" s="22">
        <v>46162</v>
      </c>
      <c r="D1721" s="23">
        <v>5200</v>
      </c>
    </row>
    <row r="1722" spans="1:4">
      <c r="A1722" t="s">
        <v>20</v>
      </c>
      <c r="B1722" t="s">
        <v>169</v>
      </c>
      <c r="C1722" s="22">
        <v>46162</v>
      </c>
      <c r="D1722" s="23">
        <v>31583</v>
      </c>
    </row>
    <row r="1723" spans="1:4">
      <c r="A1723" t="s">
        <v>20</v>
      </c>
      <c r="B1723" t="s">
        <v>229</v>
      </c>
      <c r="C1723" s="22">
        <v>46162</v>
      </c>
      <c r="D1723" s="23">
        <v>31620</v>
      </c>
    </row>
    <row r="1724" spans="1:4">
      <c r="A1724" t="s">
        <v>18</v>
      </c>
      <c r="B1724" t="s">
        <v>92</v>
      </c>
      <c r="C1724" s="22">
        <v>46162</v>
      </c>
      <c r="D1724" s="23">
        <v>55199</v>
      </c>
    </row>
    <row r="1725" spans="1:4">
      <c r="A1725" t="s">
        <v>18</v>
      </c>
      <c r="B1725" t="s">
        <v>64</v>
      </c>
      <c r="C1725" s="22">
        <v>46162</v>
      </c>
      <c r="D1725" s="23">
        <v>53669</v>
      </c>
    </row>
    <row r="1726" spans="1:4">
      <c r="A1726" t="s">
        <v>18</v>
      </c>
      <c r="B1726" t="s">
        <v>93</v>
      </c>
      <c r="C1726" s="22">
        <v>46162</v>
      </c>
      <c r="D1726" s="23">
        <v>44641</v>
      </c>
    </row>
    <row r="1727" spans="1:4">
      <c r="A1727" t="s">
        <v>18</v>
      </c>
      <c r="B1727" t="s">
        <v>67</v>
      </c>
      <c r="C1727" s="22">
        <v>46162</v>
      </c>
      <c r="D1727" s="23">
        <v>51509</v>
      </c>
    </row>
    <row r="1728" spans="1:4">
      <c r="A1728" t="s">
        <v>18</v>
      </c>
      <c r="B1728" t="s">
        <v>171</v>
      </c>
      <c r="C1728" s="22">
        <v>46162</v>
      </c>
      <c r="D1728" s="23">
        <v>42310</v>
      </c>
    </row>
    <row r="1729" spans="1:4">
      <c r="A1729" t="s">
        <v>18</v>
      </c>
      <c r="B1729" t="s">
        <v>57</v>
      </c>
      <c r="C1729" s="22">
        <v>46162</v>
      </c>
      <c r="D1729" s="23">
        <v>32950</v>
      </c>
    </row>
    <row r="1730" spans="1:4">
      <c r="A1730" t="s">
        <v>18</v>
      </c>
      <c r="B1730" t="s">
        <v>71</v>
      </c>
      <c r="C1730" s="22">
        <v>46162</v>
      </c>
      <c r="D1730" s="23">
        <v>50034</v>
      </c>
    </row>
    <row r="1731" spans="1:4">
      <c r="A1731" t="s">
        <v>28</v>
      </c>
      <c r="B1731" t="s">
        <v>100</v>
      </c>
      <c r="C1731" s="22">
        <v>46163</v>
      </c>
      <c r="D1731" s="23">
        <v>21767</v>
      </c>
    </row>
    <row r="1732" spans="1:4">
      <c r="A1732" t="s">
        <v>21</v>
      </c>
      <c r="B1732" t="s">
        <v>252</v>
      </c>
      <c r="C1732" s="22">
        <v>46163</v>
      </c>
      <c r="D1732" s="23">
        <v>50372</v>
      </c>
    </row>
    <row r="1733" spans="1:4">
      <c r="A1733" t="s">
        <v>20</v>
      </c>
      <c r="B1733" t="s">
        <v>189</v>
      </c>
      <c r="C1733" s="22">
        <v>46163</v>
      </c>
      <c r="D1733" s="23">
        <v>24905</v>
      </c>
    </row>
    <row r="1734" spans="1:4">
      <c r="A1734" t="s">
        <v>20</v>
      </c>
      <c r="B1734" t="s">
        <v>250</v>
      </c>
      <c r="C1734" s="22">
        <v>46163</v>
      </c>
      <c r="D1734" s="23">
        <v>28616</v>
      </c>
    </row>
    <row r="1735" spans="1:4">
      <c r="A1735" t="s">
        <v>20</v>
      </c>
      <c r="B1735" t="s">
        <v>90</v>
      </c>
      <c r="C1735" s="22">
        <v>46163</v>
      </c>
      <c r="D1735" s="23">
        <v>34711</v>
      </c>
    </row>
    <row r="1736" spans="1:4">
      <c r="A1736" t="s">
        <v>18</v>
      </c>
      <c r="B1736" t="s">
        <v>106</v>
      </c>
      <c r="C1736" s="22">
        <v>46163</v>
      </c>
      <c r="D1736" s="23">
        <v>42208</v>
      </c>
    </row>
    <row r="1737" spans="1:4">
      <c r="A1737" t="s">
        <v>18</v>
      </c>
      <c r="B1737" t="s">
        <v>59</v>
      </c>
      <c r="C1737" s="22">
        <v>46163</v>
      </c>
      <c r="D1737" s="23">
        <v>56599</v>
      </c>
    </row>
    <row r="1738" spans="1:4">
      <c r="A1738" t="s">
        <v>18</v>
      </c>
      <c r="B1738" t="s">
        <v>93</v>
      </c>
      <c r="C1738" s="22">
        <v>46163</v>
      </c>
      <c r="D1738" s="23">
        <v>39841</v>
      </c>
    </row>
    <row r="1739" spans="1:4">
      <c r="A1739" t="s">
        <v>18</v>
      </c>
      <c r="B1739" t="s">
        <v>118</v>
      </c>
      <c r="C1739" s="22">
        <v>46163</v>
      </c>
      <c r="D1739" s="23">
        <v>33228</v>
      </c>
    </row>
    <row r="1740" spans="1:4">
      <c r="A1740" t="s">
        <v>18</v>
      </c>
      <c r="B1740" t="s">
        <v>208</v>
      </c>
      <c r="C1740" s="22">
        <v>46163</v>
      </c>
      <c r="D1740" s="23">
        <v>47862</v>
      </c>
    </row>
    <row r="1741" spans="1:4">
      <c r="A1741" t="s">
        <v>18</v>
      </c>
      <c r="B1741" t="s">
        <v>208</v>
      </c>
      <c r="C1741" s="22">
        <v>46163</v>
      </c>
      <c r="D1741" s="23">
        <v>47218</v>
      </c>
    </row>
    <row r="1742" spans="1:4">
      <c r="A1742" t="s">
        <v>21</v>
      </c>
      <c r="B1742" t="s">
        <v>65</v>
      </c>
      <c r="C1742" s="22">
        <v>46164</v>
      </c>
      <c r="D1742" s="23">
        <v>45599</v>
      </c>
    </row>
    <row r="1743" spans="1:4">
      <c r="A1743" t="s">
        <v>21</v>
      </c>
      <c r="B1743" t="s">
        <v>162</v>
      </c>
      <c r="C1743" s="22">
        <v>46164</v>
      </c>
      <c r="D1743" s="23">
        <v>45474</v>
      </c>
    </row>
    <row r="1744" spans="1:4">
      <c r="A1744" t="s">
        <v>21</v>
      </c>
      <c r="B1744" t="s">
        <v>254</v>
      </c>
      <c r="C1744" s="22">
        <v>46164</v>
      </c>
      <c r="D1744" s="23">
        <v>31188</v>
      </c>
    </row>
    <row r="1745" spans="1:4">
      <c r="A1745" t="s">
        <v>21</v>
      </c>
      <c r="B1745" t="s">
        <v>237</v>
      </c>
      <c r="C1745" s="22">
        <v>46164</v>
      </c>
      <c r="D1745" s="23">
        <v>25773</v>
      </c>
    </row>
    <row r="1746" spans="1:4">
      <c r="A1746" t="s">
        <v>31</v>
      </c>
      <c r="B1746" t="s">
        <v>151</v>
      </c>
      <c r="C1746" s="22">
        <v>46164</v>
      </c>
      <c r="D1746" s="23">
        <v>16558</v>
      </c>
    </row>
    <row r="1747" spans="1:4">
      <c r="A1747" t="s">
        <v>34</v>
      </c>
      <c r="B1747" t="s">
        <v>186</v>
      </c>
      <c r="C1747" s="22">
        <v>46164</v>
      </c>
      <c r="D1747" s="23">
        <v>14401</v>
      </c>
    </row>
    <row r="1748" spans="1:4">
      <c r="A1748" t="s">
        <v>29</v>
      </c>
      <c r="B1748" t="s">
        <v>283</v>
      </c>
      <c r="C1748" s="22">
        <v>46164</v>
      </c>
      <c r="D1748" s="23">
        <v>14700</v>
      </c>
    </row>
    <row r="1749" spans="1:4">
      <c r="A1749" t="s">
        <v>20</v>
      </c>
      <c r="B1749" t="s">
        <v>265</v>
      </c>
      <c r="C1749" s="22">
        <v>46164</v>
      </c>
      <c r="D1749" s="23">
        <v>22455</v>
      </c>
    </row>
    <row r="1750" spans="1:4">
      <c r="A1750" t="s">
        <v>18</v>
      </c>
      <c r="B1750" t="s">
        <v>190</v>
      </c>
      <c r="C1750" s="22">
        <v>46164</v>
      </c>
      <c r="D1750" s="23">
        <v>47182</v>
      </c>
    </row>
    <row r="1751" spans="1:4">
      <c r="A1751" t="s">
        <v>18</v>
      </c>
      <c r="B1751" t="s">
        <v>58</v>
      </c>
      <c r="C1751" s="22">
        <v>46164</v>
      </c>
      <c r="D1751" s="23">
        <v>51398</v>
      </c>
    </row>
    <row r="1752" spans="1:4">
      <c r="A1752" t="s">
        <v>18</v>
      </c>
      <c r="B1752" t="s">
        <v>138</v>
      </c>
      <c r="C1752" s="22">
        <v>46164</v>
      </c>
      <c r="D1752" s="23">
        <v>52811</v>
      </c>
    </row>
    <row r="1753" spans="1:4">
      <c r="A1753" t="s">
        <v>21</v>
      </c>
      <c r="B1753" t="s">
        <v>110</v>
      </c>
      <c r="C1753" s="22">
        <v>46165</v>
      </c>
      <c r="D1753" s="23">
        <v>24583</v>
      </c>
    </row>
    <row r="1754" spans="1:4">
      <c r="A1754" t="s">
        <v>21</v>
      </c>
      <c r="B1754" t="s">
        <v>174</v>
      </c>
      <c r="C1754" s="22">
        <v>46165</v>
      </c>
      <c r="D1754" s="23">
        <v>10584</v>
      </c>
    </row>
    <row r="1755" spans="1:4">
      <c r="A1755" t="s">
        <v>33</v>
      </c>
      <c r="B1755" t="s">
        <v>236</v>
      </c>
      <c r="C1755" s="22">
        <v>46165</v>
      </c>
      <c r="D1755" s="23">
        <v>13637</v>
      </c>
    </row>
    <row r="1756" spans="1:4">
      <c r="A1756" t="s">
        <v>26</v>
      </c>
      <c r="B1756" t="s">
        <v>150</v>
      </c>
      <c r="C1756" s="22">
        <v>46165</v>
      </c>
      <c r="D1756" s="23">
        <v>5200</v>
      </c>
    </row>
    <row r="1757" spans="1:4">
      <c r="A1757" t="s">
        <v>26</v>
      </c>
      <c r="B1757" t="s">
        <v>276</v>
      </c>
      <c r="C1757" s="22">
        <v>46165</v>
      </c>
      <c r="D1757" s="23">
        <v>36140</v>
      </c>
    </row>
    <row r="1758" spans="1:4">
      <c r="A1758" t="s">
        <v>31</v>
      </c>
      <c r="B1758" t="s">
        <v>193</v>
      </c>
      <c r="C1758" s="22">
        <v>46165</v>
      </c>
      <c r="D1758" s="23">
        <v>13961</v>
      </c>
    </row>
    <row r="1759" spans="1:4">
      <c r="A1759" t="s">
        <v>22</v>
      </c>
      <c r="B1759" t="s">
        <v>137</v>
      </c>
      <c r="C1759" s="22">
        <v>46165</v>
      </c>
      <c r="D1759" s="23">
        <v>23463</v>
      </c>
    </row>
    <row r="1760" spans="1:4">
      <c r="A1760" t="s">
        <v>20</v>
      </c>
      <c r="B1760" t="s">
        <v>250</v>
      </c>
      <c r="C1760" s="22">
        <v>46165</v>
      </c>
      <c r="D1760" s="23">
        <v>27583</v>
      </c>
    </row>
    <row r="1761" spans="1:4">
      <c r="A1761" t="s">
        <v>18</v>
      </c>
      <c r="B1761" t="s">
        <v>55</v>
      </c>
      <c r="C1761" s="22">
        <v>46165</v>
      </c>
      <c r="D1761" s="23">
        <v>36136</v>
      </c>
    </row>
    <row r="1762" spans="1:4">
      <c r="A1762" t="s">
        <v>18</v>
      </c>
      <c r="B1762" t="s">
        <v>67</v>
      </c>
      <c r="C1762" s="22">
        <v>46165</v>
      </c>
      <c r="D1762" s="23">
        <v>49737</v>
      </c>
    </row>
    <row r="1763" spans="1:4">
      <c r="A1763" t="s">
        <v>18</v>
      </c>
      <c r="B1763" t="s">
        <v>58</v>
      </c>
      <c r="C1763" s="22">
        <v>46165</v>
      </c>
      <c r="D1763" s="23">
        <v>54418</v>
      </c>
    </row>
    <row r="1764" spans="1:4">
      <c r="A1764" t="s">
        <v>18</v>
      </c>
      <c r="B1764" t="s">
        <v>58</v>
      </c>
      <c r="C1764" s="22">
        <v>46165</v>
      </c>
      <c r="D1764" s="23">
        <v>46084</v>
      </c>
    </row>
    <row r="1765" spans="1:4">
      <c r="A1765" t="s">
        <v>28</v>
      </c>
      <c r="B1765" t="s">
        <v>235</v>
      </c>
      <c r="C1765" s="22">
        <v>46166</v>
      </c>
      <c r="D1765" s="23">
        <v>20611</v>
      </c>
    </row>
    <row r="1766" spans="1:4">
      <c r="A1766" t="s">
        <v>32</v>
      </c>
      <c r="B1766" t="s">
        <v>156</v>
      </c>
      <c r="C1766" s="22">
        <v>46166</v>
      </c>
      <c r="D1766" s="23">
        <v>14232</v>
      </c>
    </row>
    <row r="1767" spans="1:4">
      <c r="A1767" t="s">
        <v>35</v>
      </c>
      <c r="B1767" t="s">
        <v>122</v>
      </c>
      <c r="C1767" s="22">
        <v>46166</v>
      </c>
      <c r="D1767" s="23">
        <v>13469</v>
      </c>
    </row>
    <row r="1768" spans="1:4">
      <c r="A1768" t="s">
        <v>22</v>
      </c>
      <c r="B1768" t="s">
        <v>238</v>
      </c>
      <c r="C1768" s="22">
        <v>46166</v>
      </c>
      <c r="D1768" s="23">
        <v>24229</v>
      </c>
    </row>
    <row r="1769" spans="1:4">
      <c r="A1769" t="s">
        <v>20</v>
      </c>
      <c r="B1769" t="s">
        <v>158</v>
      </c>
      <c r="C1769" s="22">
        <v>46166</v>
      </c>
      <c r="D1769" s="23">
        <v>32714</v>
      </c>
    </row>
    <row r="1770" spans="1:4">
      <c r="A1770" t="s">
        <v>20</v>
      </c>
      <c r="B1770" t="s">
        <v>229</v>
      </c>
      <c r="C1770" s="22">
        <v>46166</v>
      </c>
      <c r="D1770" s="23">
        <v>33428</v>
      </c>
    </row>
    <row r="1771" spans="1:4">
      <c r="A1771" t="s">
        <v>20</v>
      </c>
      <c r="B1771" t="s">
        <v>161</v>
      </c>
      <c r="C1771" s="22">
        <v>46166</v>
      </c>
      <c r="D1771" s="23">
        <v>23967</v>
      </c>
    </row>
    <row r="1772" spans="1:4">
      <c r="A1772" t="s">
        <v>20</v>
      </c>
      <c r="B1772" t="s">
        <v>127</v>
      </c>
      <c r="C1772" s="22">
        <v>46166</v>
      </c>
      <c r="D1772" s="23">
        <v>29070</v>
      </c>
    </row>
    <row r="1773" spans="1:4">
      <c r="A1773" t="s">
        <v>18</v>
      </c>
      <c r="B1773" t="s">
        <v>54</v>
      </c>
      <c r="C1773" s="22">
        <v>46166</v>
      </c>
      <c r="D1773" s="23">
        <v>35507</v>
      </c>
    </row>
    <row r="1774" spans="1:4">
      <c r="A1774" t="s">
        <v>18</v>
      </c>
      <c r="B1774" t="s">
        <v>66</v>
      </c>
      <c r="C1774" s="22">
        <v>46166</v>
      </c>
      <c r="D1774" s="23">
        <v>31809</v>
      </c>
    </row>
    <row r="1775" spans="1:4">
      <c r="A1775" t="s">
        <v>18</v>
      </c>
      <c r="B1775" t="s">
        <v>92</v>
      </c>
      <c r="C1775" s="22">
        <v>46166</v>
      </c>
      <c r="D1775" s="23">
        <v>52336</v>
      </c>
    </row>
    <row r="1776" spans="1:4">
      <c r="A1776" t="s">
        <v>18</v>
      </c>
      <c r="B1776" t="s">
        <v>117</v>
      </c>
      <c r="C1776" s="22">
        <v>46166</v>
      </c>
      <c r="D1776" s="23">
        <v>58892</v>
      </c>
    </row>
    <row r="1777" spans="1:4">
      <c r="A1777" t="s">
        <v>18</v>
      </c>
      <c r="B1777" t="s">
        <v>117</v>
      </c>
      <c r="C1777" s="22">
        <v>46166</v>
      </c>
      <c r="D1777" s="23">
        <v>48197</v>
      </c>
    </row>
    <row r="1778" spans="1:4">
      <c r="A1778" t="s">
        <v>21</v>
      </c>
      <c r="B1778" t="s">
        <v>146</v>
      </c>
      <c r="C1778" s="22">
        <v>46167</v>
      </c>
      <c r="D1778" s="23">
        <v>27923</v>
      </c>
    </row>
    <row r="1779" spans="1:4">
      <c r="A1779" t="s">
        <v>27</v>
      </c>
      <c r="B1779" t="s">
        <v>155</v>
      </c>
      <c r="C1779" s="22">
        <v>46167</v>
      </c>
      <c r="D1779" s="23">
        <v>17704</v>
      </c>
    </row>
    <row r="1780" spans="1:4">
      <c r="A1780" t="s">
        <v>23</v>
      </c>
      <c r="B1780" t="s">
        <v>282</v>
      </c>
      <c r="C1780" s="22">
        <v>46167</v>
      </c>
      <c r="D1780" s="23">
        <v>24136</v>
      </c>
    </row>
    <row r="1781" spans="1:4">
      <c r="A1781" t="s">
        <v>20</v>
      </c>
      <c r="B1781" t="s">
        <v>83</v>
      </c>
      <c r="C1781" s="22">
        <v>46167</v>
      </c>
      <c r="D1781" s="23">
        <v>24616</v>
      </c>
    </row>
    <row r="1782" spans="1:4">
      <c r="A1782" t="s">
        <v>18</v>
      </c>
      <c r="B1782" t="s">
        <v>144</v>
      </c>
      <c r="C1782" s="22">
        <v>46167</v>
      </c>
      <c r="D1782" s="23">
        <v>45023</v>
      </c>
    </row>
    <row r="1783" spans="1:4">
      <c r="A1783" t="s">
        <v>18</v>
      </c>
      <c r="B1783" t="s">
        <v>93</v>
      </c>
      <c r="C1783" s="22">
        <v>46167</v>
      </c>
      <c r="D1783" s="23">
        <v>45258</v>
      </c>
    </row>
    <row r="1784" spans="1:4">
      <c r="A1784" t="s">
        <v>18</v>
      </c>
      <c r="B1784" t="s">
        <v>68</v>
      </c>
      <c r="C1784" s="22">
        <v>46167</v>
      </c>
      <c r="D1784" s="23">
        <v>32566</v>
      </c>
    </row>
    <row r="1785" spans="1:4">
      <c r="A1785" t="s">
        <v>18</v>
      </c>
      <c r="B1785" t="s">
        <v>68</v>
      </c>
      <c r="C1785" s="22">
        <v>46167</v>
      </c>
      <c r="D1785" s="23">
        <v>41112</v>
      </c>
    </row>
    <row r="1786" spans="1:4">
      <c r="A1786" t="s">
        <v>18</v>
      </c>
      <c r="B1786" t="s">
        <v>117</v>
      </c>
      <c r="C1786" s="22">
        <v>46167</v>
      </c>
      <c r="D1786" s="23">
        <v>40125</v>
      </c>
    </row>
    <row r="1787" spans="1:4">
      <c r="A1787" t="s">
        <v>18</v>
      </c>
      <c r="B1787" t="s">
        <v>69</v>
      </c>
      <c r="C1787" s="22">
        <v>46167</v>
      </c>
      <c r="D1787" s="23">
        <v>40473</v>
      </c>
    </row>
    <row r="1788" spans="1:4">
      <c r="A1788" t="s">
        <v>18</v>
      </c>
      <c r="B1788" t="s">
        <v>118</v>
      </c>
      <c r="C1788" s="22">
        <v>46167</v>
      </c>
      <c r="D1788" s="23">
        <v>37028</v>
      </c>
    </row>
    <row r="1789" spans="1:4">
      <c r="A1789" t="s">
        <v>18</v>
      </c>
      <c r="B1789" t="s">
        <v>159</v>
      </c>
      <c r="C1789" s="22">
        <v>46167</v>
      </c>
      <c r="D1789" s="23">
        <v>42134</v>
      </c>
    </row>
    <row r="1790" spans="1:4">
      <c r="A1790" t="s">
        <v>18</v>
      </c>
      <c r="B1790" t="s">
        <v>72</v>
      </c>
      <c r="C1790" s="22">
        <v>46167</v>
      </c>
      <c r="D1790" s="23">
        <v>42235</v>
      </c>
    </row>
    <row r="1791" spans="1:4">
      <c r="A1791" t="s">
        <v>26</v>
      </c>
      <c r="B1791" t="s">
        <v>109</v>
      </c>
      <c r="C1791" s="22">
        <v>46168</v>
      </c>
      <c r="D1791" s="23">
        <v>18045</v>
      </c>
    </row>
    <row r="1792" spans="1:4">
      <c r="A1792" t="s">
        <v>31</v>
      </c>
      <c r="B1792" t="s">
        <v>176</v>
      </c>
      <c r="C1792" s="22">
        <v>46168</v>
      </c>
      <c r="D1792" s="23">
        <v>13563</v>
      </c>
    </row>
    <row r="1793" spans="1:4">
      <c r="A1793" t="s">
        <v>27</v>
      </c>
      <c r="B1793" t="s">
        <v>266</v>
      </c>
      <c r="C1793" s="22">
        <v>46168</v>
      </c>
      <c r="D1793" s="23">
        <v>13993</v>
      </c>
    </row>
    <row r="1794" spans="1:4">
      <c r="A1794" t="s">
        <v>32</v>
      </c>
      <c r="B1794" t="s">
        <v>205</v>
      </c>
      <c r="C1794" s="22">
        <v>46168</v>
      </c>
      <c r="D1794" s="23">
        <v>5200</v>
      </c>
    </row>
    <row r="1795" spans="1:4">
      <c r="A1795" t="s">
        <v>29</v>
      </c>
      <c r="B1795" t="s">
        <v>222</v>
      </c>
      <c r="C1795" s="22">
        <v>46168</v>
      </c>
      <c r="D1795" s="23">
        <v>11324</v>
      </c>
    </row>
    <row r="1796" spans="1:4">
      <c r="A1796" t="s">
        <v>22</v>
      </c>
      <c r="B1796" t="s">
        <v>249</v>
      </c>
      <c r="C1796" s="22">
        <v>46168</v>
      </c>
      <c r="D1796" s="23">
        <v>36001</v>
      </c>
    </row>
    <row r="1797" spans="1:4">
      <c r="A1797" t="s">
        <v>22</v>
      </c>
      <c r="B1797" t="s">
        <v>183</v>
      </c>
      <c r="C1797" s="22">
        <v>46168</v>
      </c>
      <c r="D1797" s="23">
        <v>10611</v>
      </c>
    </row>
    <row r="1798" spans="1:4">
      <c r="A1798" t="s">
        <v>20</v>
      </c>
      <c r="B1798" t="s">
        <v>239</v>
      </c>
      <c r="C1798" s="22">
        <v>46168</v>
      </c>
      <c r="D1798" s="23">
        <v>45599</v>
      </c>
    </row>
    <row r="1799" spans="1:4">
      <c r="A1799" t="s">
        <v>20</v>
      </c>
      <c r="B1799" t="s">
        <v>169</v>
      </c>
      <c r="C1799" s="22">
        <v>46168</v>
      </c>
      <c r="D1799" s="23">
        <v>39701</v>
      </c>
    </row>
    <row r="1800" spans="1:4">
      <c r="A1800" t="s">
        <v>18</v>
      </c>
      <c r="B1800" t="s">
        <v>93</v>
      </c>
      <c r="C1800" s="22">
        <v>46168</v>
      </c>
      <c r="D1800" s="23">
        <v>38663</v>
      </c>
    </row>
    <row r="1801" spans="1:4">
      <c r="A1801" t="s">
        <v>18</v>
      </c>
      <c r="B1801" t="s">
        <v>57</v>
      </c>
      <c r="C1801" s="22">
        <v>46168</v>
      </c>
      <c r="D1801" s="23">
        <v>39134</v>
      </c>
    </row>
    <row r="1802" spans="1:4">
      <c r="A1802" t="s">
        <v>18</v>
      </c>
      <c r="B1802" t="s">
        <v>173</v>
      </c>
      <c r="C1802" s="22">
        <v>46168</v>
      </c>
      <c r="D1802" s="23">
        <v>27577</v>
      </c>
    </row>
    <row r="1803" spans="1:4">
      <c r="A1803" t="s">
        <v>26</v>
      </c>
      <c r="B1803" t="s">
        <v>278</v>
      </c>
      <c r="C1803" s="22">
        <v>46169</v>
      </c>
      <c r="D1803" s="23">
        <v>19017</v>
      </c>
    </row>
    <row r="1804" spans="1:4">
      <c r="A1804" t="s">
        <v>22</v>
      </c>
      <c r="B1804" t="s">
        <v>223</v>
      </c>
      <c r="C1804" s="22">
        <v>46169</v>
      </c>
      <c r="D1804" s="23">
        <v>23341</v>
      </c>
    </row>
    <row r="1805" spans="1:4">
      <c r="A1805" t="s">
        <v>20</v>
      </c>
      <c r="B1805" t="s">
        <v>197</v>
      </c>
      <c r="C1805" s="22">
        <v>46169</v>
      </c>
      <c r="D1805" s="23">
        <v>46472</v>
      </c>
    </row>
    <row r="1806" spans="1:4">
      <c r="A1806" t="s">
        <v>20</v>
      </c>
      <c r="B1806" t="s">
        <v>107</v>
      </c>
      <c r="C1806" s="22">
        <v>46169</v>
      </c>
      <c r="D1806" s="23">
        <v>39986</v>
      </c>
    </row>
    <row r="1807" spans="1:4">
      <c r="A1807" t="s">
        <v>20</v>
      </c>
      <c r="B1807" t="s">
        <v>83</v>
      </c>
      <c r="C1807" s="22">
        <v>46169</v>
      </c>
      <c r="D1807" s="23">
        <v>38889</v>
      </c>
    </row>
    <row r="1808" spans="1:4">
      <c r="A1808" t="s">
        <v>18</v>
      </c>
      <c r="B1808" t="s">
        <v>93</v>
      </c>
      <c r="C1808" s="22">
        <v>46169</v>
      </c>
      <c r="D1808" s="23">
        <v>42372</v>
      </c>
    </row>
    <row r="1809" spans="1:4">
      <c r="A1809" t="s">
        <v>18</v>
      </c>
      <c r="B1809" t="s">
        <v>95</v>
      </c>
      <c r="C1809" s="22">
        <v>46169</v>
      </c>
      <c r="D1809" s="23">
        <v>50096</v>
      </c>
    </row>
    <row r="1810" spans="1:4">
      <c r="A1810" t="s">
        <v>18</v>
      </c>
      <c r="B1810" t="s">
        <v>171</v>
      </c>
      <c r="C1810" s="22">
        <v>46169</v>
      </c>
      <c r="D1810" s="23">
        <v>38289</v>
      </c>
    </row>
    <row r="1811" spans="1:4">
      <c r="A1811" t="s">
        <v>18</v>
      </c>
      <c r="B1811" t="s">
        <v>70</v>
      </c>
      <c r="C1811" s="22">
        <v>46169</v>
      </c>
      <c r="D1811" s="23">
        <v>36074</v>
      </c>
    </row>
    <row r="1812" spans="1:4">
      <c r="A1812" t="s">
        <v>18</v>
      </c>
      <c r="B1812" t="s">
        <v>172</v>
      </c>
      <c r="C1812" s="22">
        <v>46169</v>
      </c>
      <c r="D1812" s="23">
        <v>58080</v>
      </c>
    </row>
    <row r="1813" spans="1:4">
      <c r="A1813" t="s">
        <v>18</v>
      </c>
      <c r="B1813" t="s">
        <v>139</v>
      </c>
      <c r="C1813" s="22">
        <v>46169</v>
      </c>
      <c r="D1813" s="23">
        <v>28071</v>
      </c>
    </row>
    <row r="1814" spans="1:4">
      <c r="A1814" t="s">
        <v>26</v>
      </c>
      <c r="B1814" t="s">
        <v>210</v>
      </c>
      <c r="C1814" s="22">
        <v>46170</v>
      </c>
      <c r="D1814" s="23">
        <v>18893</v>
      </c>
    </row>
    <row r="1815" spans="1:4">
      <c r="A1815" t="s">
        <v>25</v>
      </c>
      <c r="B1815" t="s">
        <v>166</v>
      </c>
      <c r="C1815" s="22">
        <v>46170</v>
      </c>
      <c r="D1815" s="23">
        <v>15059</v>
      </c>
    </row>
    <row r="1816" spans="1:4">
      <c r="A1816" t="s">
        <v>23</v>
      </c>
      <c r="B1816" t="s">
        <v>187</v>
      </c>
      <c r="C1816" s="22">
        <v>46170</v>
      </c>
      <c r="D1816" s="23">
        <v>22424</v>
      </c>
    </row>
    <row r="1817" spans="1:4">
      <c r="A1817" t="s">
        <v>23</v>
      </c>
      <c r="B1817" t="s">
        <v>114</v>
      </c>
      <c r="C1817" s="22">
        <v>46170</v>
      </c>
      <c r="D1817" s="23">
        <v>21054</v>
      </c>
    </row>
    <row r="1818" spans="1:4">
      <c r="A1818" t="s">
        <v>22</v>
      </c>
      <c r="B1818" t="s">
        <v>180</v>
      </c>
      <c r="C1818" s="22">
        <v>46170</v>
      </c>
      <c r="D1818" s="23">
        <v>38364</v>
      </c>
    </row>
    <row r="1819" spans="1:4">
      <c r="A1819" t="s">
        <v>20</v>
      </c>
      <c r="B1819" t="s">
        <v>104</v>
      </c>
      <c r="C1819" s="22">
        <v>46170</v>
      </c>
      <c r="D1819" s="23">
        <v>26886</v>
      </c>
    </row>
    <row r="1820" spans="1:4">
      <c r="A1820" t="s">
        <v>20</v>
      </c>
      <c r="B1820" t="s">
        <v>199</v>
      </c>
      <c r="C1820" s="22">
        <v>46170</v>
      </c>
      <c r="D1820" s="23">
        <v>53548</v>
      </c>
    </row>
    <row r="1821" spans="1:4">
      <c r="A1821" t="s">
        <v>18</v>
      </c>
      <c r="B1821" t="s">
        <v>129</v>
      </c>
      <c r="C1821" s="22">
        <v>46170</v>
      </c>
      <c r="D1821" s="23">
        <v>29846</v>
      </c>
    </row>
    <row r="1822" spans="1:4">
      <c r="A1822" t="s">
        <v>18</v>
      </c>
      <c r="B1822" t="s">
        <v>159</v>
      </c>
      <c r="C1822" s="22">
        <v>46170</v>
      </c>
      <c r="D1822" s="23">
        <v>37312</v>
      </c>
    </row>
    <row r="1823" spans="1:4">
      <c r="A1823" t="s">
        <v>18</v>
      </c>
      <c r="B1823" t="s">
        <v>86</v>
      </c>
      <c r="C1823" s="22">
        <v>46170</v>
      </c>
      <c r="D1823" s="23">
        <v>46001</v>
      </c>
    </row>
    <row r="1824" spans="1:4">
      <c r="A1824" t="s">
        <v>28</v>
      </c>
      <c r="B1824" t="s">
        <v>185</v>
      </c>
      <c r="C1824" s="22">
        <v>46171</v>
      </c>
      <c r="D1824" s="23">
        <v>12387</v>
      </c>
    </row>
    <row r="1825" spans="1:4">
      <c r="A1825" t="s">
        <v>21</v>
      </c>
      <c r="B1825" t="s">
        <v>47</v>
      </c>
      <c r="C1825" s="22">
        <v>46171</v>
      </c>
      <c r="D1825" s="23">
        <v>35750</v>
      </c>
    </row>
    <row r="1826" spans="1:4">
      <c r="A1826" t="s">
        <v>21</v>
      </c>
      <c r="B1826" t="s">
        <v>163</v>
      </c>
      <c r="C1826" s="22">
        <v>46171</v>
      </c>
      <c r="D1826" s="23">
        <v>43014</v>
      </c>
    </row>
    <row r="1827" spans="1:4">
      <c r="A1827" t="s">
        <v>33</v>
      </c>
      <c r="B1827" t="s">
        <v>242</v>
      </c>
      <c r="C1827" s="22">
        <v>46171</v>
      </c>
      <c r="D1827" s="23">
        <v>11557</v>
      </c>
    </row>
    <row r="1828" spans="1:4">
      <c r="A1828" t="s">
        <v>27</v>
      </c>
      <c r="B1828" t="s">
        <v>194</v>
      </c>
      <c r="C1828" s="22">
        <v>46171</v>
      </c>
      <c r="D1828" s="23">
        <v>17490</v>
      </c>
    </row>
    <row r="1829" spans="1:4">
      <c r="A1829" t="s">
        <v>25</v>
      </c>
      <c r="B1829" t="s">
        <v>61</v>
      </c>
      <c r="C1829" s="22">
        <v>46171</v>
      </c>
      <c r="D1829" s="23">
        <v>25328</v>
      </c>
    </row>
    <row r="1830" spans="1:4">
      <c r="A1830" t="s">
        <v>34</v>
      </c>
      <c r="B1830" t="s">
        <v>261</v>
      </c>
      <c r="C1830" s="22">
        <v>46171</v>
      </c>
      <c r="D1830" s="23">
        <v>9501</v>
      </c>
    </row>
    <row r="1831" spans="1:4">
      <c r="A1831" t="s">
        <v>23</v>
      </c>
      <c r="B1831" t="s">
        <v>232</v>
      </c>
      <c r="C1831" s="22">
        <v>46171</v>
      </c>
      <c r="D1831" s="23">
        <v>6295</v>
      </c>
    </row>
    <row r="1832" spans="1:4">
      <c r="A1832" t="s">
        <v>29</v>
      </c>
      <c r="B1832" t="s">
        <v>79</v>
      </c>
      <c r="C1832" s="22">
        <v>46171</v>
      </c>
      <c r="D1832" s="23">
        <v>15456</v>
      </c>
    </row>
    <row r="1833" spans="1:4">
      <c r="A1833" t="s">
        <v>18</v>
      </c>
      <c r="B1833" t="s">
        <v>207</v>
      </c>
      <c r="C1833" s="22">
        <v>46171</v>
      </c>
      <c r="D1833" s="23">
        <v>50269</v>
      </c>
    </row>
    <row r="1834" spans="1:4">
      <c r="A1834" t="s">
        <v>18</v>
      </c>
      <c r="B1834" t="s">
        <v>260</v>
      </c>
      <c r="C1834" s="22">
        <v>46171</v>
      </c>
      <c r="D1834" s="23">
        <v>52688</v>
      </c>
    </row>
    <row r="1835" spans="1:4">
      <c r="A1835" t="s">
        <v>18</v>
      </c>
      <c r="B1835" t="s">
        <v>94</v>
      </c>
      <c r="C1835" s="22">
        <v>46171</v>
      </c>
      <c r="D1835" s="23">
        <v>59878</v>
      </c>
    </row>
    <row r="1836" spans="1:4">
      <c r="A1836" t="s">
        <v>18</v>
      </c>
      <c r="B1836" t="s">
        <v>192</v>
      </c>
      <c r="C1836" s="22">
        <v>46171</v>
      </c>
      <c r="D1836" s="23">
        <v>37491</v>
      </c>
    </row>
    <row r="1837" spans="1:4">
      <c r="A1837" t="s">
        <v>18</v>
      </c>
      <c r="B1837" t="s">
        <v>118</v>
      </c>
      <c r="C1837" s="22">
        <v>46171</v>
      </c>
      <c r="D1837" s="23">
        <v>45592</v>
      </c>
    </row>
    <row r="1838" spans="1:4">
      <c r="A1838" t="s">
        <v>18</v>
      </c>
      <c r="B1838" t="s">
        <v>208</v>
      </c>
      <c r="C1838" s="22">
        <v>46171</v>
      </c>
      <c r="D1838" s="23">
        <v>65183</v>
      </c>
    </row>
    <row r="1839" spans="1:4">
      <c r="A1839" t="s">
        <v>25</v>
      </c>
      <c r="B1839" t="s">
        <v>244</v>
      </c>
      <c r="C1839" s="22">
        <v>46172</v>
      </c>
      <c r="D1839" s="23">
        <v>20974</v>
      </c>
    </row>
    <row r="1840" spans="1:4">
      <c r="A1840" t="s">
        <v>25</v>
      </c>
      <c r="B1840" t="s">
        <v>267</v>
      </c>
      <c r="C1840" s="22">
        <v>46172</v>
      </c>
      <c r="D1840" s="23">
        <v>17751</v>
      </c>
    </row>
    <row r="1841" spans="1:4">
      <c r="A1841" t="s">
        <v>23</v>
      </c>
      <c r="B1841" t="s">
        <v>233</v>
      </c>
      <c r="C1841" s="22">
        <v>46172</v>
      </c>
      <c r="D1841" s="23">
        <v>21436</v>
      </c>
    </row>
    <row r="1842" spans="1:4">
      <c r="A1842" t="s">
        <v>29</v>
      </c>
      <c r="B1842" t="s">
        <v>160</v>
      </c>
      <c r="C1842" s="22">
        <v>46172</v>
      </c>
      <c r="D1842" s="23">
        <v>5200</v>
      </c>
    </row>
    <row r="1843" spans="1:4">
      <c r="A1843" t="s">
        <v>29</v>
      </c>
      <c r="B1843" t="s">
        <v>218</v>
      </c>
      <c r="C1843" s="22">
        <v>46172</v>
      </c>
      <c r="D1843" s="23">
        <v>16148</v>
      </c>
    </row>
    <row r="1844" spans="1:4">
      <c r="A1844" t="s">
        <v>22</v>
      </c>
      <c r="B1844" t="s">
        <v>80</v>
      </c>
      <c r="C1844" s="22">
        <v>46172</v>
      </c>
      <c r="D1844" s="23">
        <v>43308</v>
      </c>
    </row>
    <row r="1845" spans="1:4">
      <c r="A1845" t="s">
        <v>20</v>
      </c>
      <c r="B1845" t="s">
        <v>126</v>
      </c>
      <c r="C1845" s="22">
        <v>46172</v>
      </c>
      <c r="D1845" s="23">
        <v>23231</v>
      </c>
    </row>
    <row r="1846" spans="1:4">
      <c r="A1846" t="s">
        <v>20</v>
      </c>
      <c r="B1846" t="s">
        <v>158</v>
      </c>
      <c r="C1846" s="22">
        <v>46172</v>
      </c>
      <c r="D1846" s="23">
        <v>30598</v>
      </c>
    </row>
    <row r="1847" spans="1:4">
      <c r="A1847" t="s">
        <v>20</v>
      </c>
      <c r="B1847" t="s">
        <v>104</v>
      </c>
      <c r="C1847" s="22">
        <v>46172</v>
      </c>
      <c r="D1847" s="23">
        <v>31471</v>
      </c>
    </row>
    <row r="1848" spans="1:4">
      <c r="A1848" t="s">
        <v>18</v>
      </c>
      <c r="B1848" t="s">
        <v>224</v>
      </c>
      <c r="C1848" s="22">
        <v>46172</v>
      </c>
      <c r="D1848" s="23">
        <v>54960</v>
      </c>
    </row>
    <row r="1849" spans="1:4">
      <c r="A1849" t="s">
        <v>21</v>
      </c>
      <c r="B1849" t="s">
        <v>246</v>
      </c>
      <c r="C1849" s="22">
        <v>46173</v>
      </c>
      <c r="D1849" s="23">
        <v>6963</v>
      </c>
    </row>
    <row r="1850" spans="1:4">
      <c r="A1850" t="s">
        <v>21</v>
      </c>
      <c r="B1850" t="s">
        <v>253</v>
      </c>
      <c r="C1850" s="22">
        <v>46173</v>
      </c>
      <c r="D1850" s="23">
        <v>42573</v>
      </c>
    </row>
    <row r="1851" spans="1:4">
      <c r="A1851" t="s">
        <v>26</v>
      </c>
      <c r="B1851" t="s">
        <v>263</v>
      </c>
      <c r="C1851" s="22">
        <v>46173</v>
      </c>
      <c r="D1851" s="23">
        <v>16467</v>
      </c>
    </row>
    <row r="1852" spans="1:4">
      <c r="A1852" t="s">
        <v>25</v>
      </c>
      <c r="B1852" t="s">
        <v>113</v>
      </c>
      <c r="C1852" s="22">
        <v>46173</v>
      </c>
      <c r="D1852" s="23">
        <v>18929</v>
      </c>
    </row>
    <row r="1853" spans="1:4">
      <c r="A1853" t="s">
        <v>23</v>
      </c>
      <c r="B1853" t="s">
        <v>62</v>
      </c>
      <c r="C1853" s="22">
        <v>46173</v>
      </c>
      <c r="D1853" s="23">
        <v>6413</v>
      </c>
    </row>
    <row r="1854" spans="1:4">
      <c r="A1854" t="s">
        <v>23</v>
      </c>
      <c r="B1854" t="s">
        <v>204</v>
      </c>
      <c r="C1854" s="22">
        <v>46173</v>
      </c>
      <c r="D1854" s="23">
        <v>39316</v>
      </c>
    </row>
    <row r="1855" spans="1:4">
      <c r="A1855" t="s">
        <v>20</v>
      </c>
      <c r="B1855" t="s">
        <v>66</v>
      </c>
      <c r="C1855" s="22">
        <v>46173</v>
      </c>
      <c r="D1855" s="23">
        <v>24175</v>
      </c>
    </row>
    <row r="1856" spans="1:4">
      <c r="A1856" t="s">
        <v>20</v>
      </c>
      <c r="B1856" t="s">
        <v>115</v>
      </c>
      <c r="C1856" s="22">
        <v>46173</v>
      </c>
      <c r="D1856" s="23">
        <v>29257</v>
      </c>
    </row>
    <row r="1857" spans="1:4">
      <c r="A1857" t="s">
        <v>18</v>
      </c>
      <c r="B1857" t="s">
        <v>93</v>
      </c>
      <c r="C1857" s="22">
        <v>46173</v>
      </c>
      <c r="D1857" s="23">
        <v>44089</v>
      </c>
    </row>
    <row r="1858" spans="1:4">
      <c r="A1858" t="s">
        <v>18</v>
      </c>
      <c r="B1858" t="s">
        <v>69</v>
      </c>
      <c r="C1858" s="22">
        <v>46173</v>
      </c>
      <c r="D1858" s="23">
        <v>28782</v>
      </c>
    </row>
    <row r="1859" spans="1:4">
      <c r="A1859" t="s">
        <v>18</v>
      </c>
      <c r="B1859" t="s">
        <v>162</v>
      </c>
      <c r="C1859" s="22">
        <v>46173</v>
      </c>
      <c r="D1859" s="23">
        <v>31800</v>
      </c>
    </row>
    <row r="1860" spans="1:4">
      <c r="A1860" t="s">
        <v>18</v>
      </c>
      <c r="B1860" t="s">
        <v>58</v>
      </c>
      <c r="C1860" s="22">
        <v>46173</v>
      </c>
      <c r="D1860" s="23">
        <v>40144</v>
      </c>
    </row>
    <row r="1861" spans="1:4">
      <c r="A1861" t="s">
        <v>18</v>
      </c>
      <c r="B1861" t="s">
        <v>86</v>
      </c>
      <c r="C1861" s="22">
        <v>46173</v>
      </c>
      <c r="D1861" s="23">
        <v>33098</v>
      </c>
    </row>
    <row r="1862" spans="1:4">
      <c r="A1862" t="s">
        <v>28</v>
      </c>
      <c r="B1862" t="s">
        <v>217</v>
      </c>
      <c r="C1862" s="22">
        <v>46174</v>
      </c>
      <c r="D1862" s="23">
        <v>18016</v>
      </c>
    </row>
    <row r="1863" spans="1:4">
      <c r="A1863" t="s">
        <v>21</v>
      </c>
      <c r="B1863" t="s">
        <v>240</v>
      </c>
      <c r="C1863" s="22">
        <v>46174</v>
      </c>
      <c r="D1863" s="23">
        <v>10241</v>
      </c>
    </row>
    <row r="1864" spans="1:4">
      <c r="A1864" t="s">
        <v>21</v>
      </c>
      <c r="B1864" t="s">
        <v>219</v>
      </c>
      <c r="C1864" s="22">
        <v>46174</v>
      </c>
      <c r="D1864" s="23">
        <v>29768</v>
      </c>
    </row>
    <row r="1865" spans="1:4">
      <c r="A1865" t="s">
        <v>26</v>
      </c>
      <c r="B1865" t="s">
        <v>48</v>
      </c>
      <c r="C1865" s="22">
        <v>46174</v>
      </c>
      <c r="D1865" s="23">
        <v>19986</v>
      </c>
    </row>
    <row r="1866" spans="1:4">
      <c r="A1866" t="s">
        <v>27</v>
      </c>
      <c r="B1866" t="s">
        <v>279</v>
      </c>
      <c r="C1866" s="22">
        <v>46174</v>
      </c>
      <c r="D1866" s="23">
        <v>15164</v>
      </c>
    </row>
    <row r="1867" spans="1:4">
      <c r="A1867" t="s">
        <v>32</v>
      </c>
      <c r="B1867" t="s">
        <v>205</v>
      </c>
      <c r="C1867" s="22">
        <v>46174</v>
      </c>
      <c r="D1867" s="23">
        <v>5200</v>
      </c>
    </row>
    <row r="1868" spans="1:4">
      <c r="A1868" t="s">
        <v>36</v>
      </c>
      <c r="B1868" t="s">
        <v>121</v>
      </c>
      <c r="C1868" s="22">
        <v>46174</v>
      </c>
      <c r="D1868" s="23">
        <v>15717</v>
      </c>
    </row>
    <row r="1869" spans="1:4">
      <c r="A1869" t="s">
        <v>23</v>
      </c>
      <c r="B1869" t="s">
        <v>282</v>
      </c>
      <c r="C1869" s="22">
        <v>46174</v>
      </c>
      <c r="D1869" s="23">
        <v>24943</v>
      </c>
    </row>
    <row r="1870" spans="1:4">
      <c r="A1870" t="s">
        <v>29</v>
      </c>
      <c r="B1870" t="s">
        <v>142</v>
      </c>
      <c r="C1870" s="22">
        <v>46174</v>
      </c>
      <c r="D1870" s="23">
        <v>14469</v>
      </c>
    </row>
    <row r="1871" spans="1:4">
      <c r="A1871" t="s">
        <v>22</v>
      </c>
      <c r="B1871" t="s">
        <v>104</v>
      </c>
      <c r="C1871" s="22">
        <v>46174</v>
      </c>
      <c r="D1871" s="23">
        <v>37090</v>
      </c>
    </row>
    <row r="1872" spans="1:4">
      <c r="A1872" t="s">
        <v>20</v>
      </c>
      <c r="B1872" t="s">
        <v>89</v>
      </c>
      <c r="C1872" s="22">
        <v>46174</v>
      </c>
      <c r="D1872" s="23">
        <v>33543</v>
      </c>
    </row>
    <row r="1873" spans="1:4">
      <c r="A1873" t="s">
        <v>20</v>
      </c>
      <c r="B1873" t="s">
        <v>215</v>
      </c>
      <c r="C1873" s="22">
        <v>46174</v>
      </c>
      <c r="D1873" s="23">
        <v>30049</v>
      </c>
    </row>
    <row r="1874" spans="1:4">
      <c r="A1874" t="s">
        <v>18</v>
      </c>
      <c r="B1874" t="s">
        <v>190</v>
      </c>
      <c r="C1874" s="22">
        <v>46174</v>
      </c>
      <c r="D1874" s="23">
        <v>43376</v>
      </c>
    </row>
    <row r="1875" spans="1:4">
      <c r="A1875" t="s">
        <v>18</v>
      </c>
      <c r="B1875" t="s">
        <v>173</v>
      </c>
      <c r="C1875" s="22">
        <v>46174</v>
      </c>
      <c r="D1875" s="23">
        <v>29425</v>
      </c>
    </row>
    <row r="1876" spans="1:4">
      <c r="A1876" t="s">
        <v>37</v>
      </c>
      <c r="B1876" t="s">
        <v>269</v>
      </c>
      <c r="C1876" s="22">
        <v>46175</v>
      </c>
      <c r="D1876" s="23">
        <v>11663</v>
      </c>
    </row>
    <row r="1877" spans="1:4">
      <c r="A1877" t="s">
        <v>27</v>
      </c>
      <c r="B1877" t="s">
        <v>266</v>
      </c>
      <c r="C1877" s="22">
        <v>46175</v>
      </c>
      <c r="D1877" s="23">
        <v>5200</v>
      </c>
    </row>
    <row r="1878" spans="1:4">
      <c r="A1878" t="s">
        <v>32</v>
      </c>
      <c r="B1878" t="s">
        <v>257</v>
      </c>
      <c r="C1878" s="22">
        <v>46175</v>
      </c>
      <c r="D1878" s="23">
        <v>5200</v>
      </c>
    </row>
    <row r="1879" spans="1:4">
      <c r="A1879" t="s">
        <v>23</v>
      </c>
      <c r="B1879" t="s">
        <v>221</v>
      </c>
      <c r="C1879" s="22">
        <v>46175</v>
      </c>
      <c r="D1879" s="23">
        <v>22688</v>
      </c>
    </row>
    <row r="1880" spans="1:4">
      <c r="A1880" t="s">
        <v>20</v>
      </c>
      <c r="B1880" t="s">
        <v>189</v>
      </c>
      <c r="C1880" s="22">
        <v>46175</v>
      </c>
      <c r="D1880" s="23">
        <v>30463</v>
      </c>
    </row>
    <row r="1881" spans="1:4">
      <c r="A1881" t="s">
        <v>20</v>
      </c>
      <c r="B1881" t="s">
        <v>136</v>
      </c>
      <c r="C1881" s="22">
        <v>46175</v>
      </c>
      <c r="D1881" s="23">
        <v>28933</v>
      </c>
    </row>
    <row r="1882" spans="1:4">
      <c r="A1882" t="s">
        <v>20</v>
      </c>
      <c r="B1882" t="s">
        <v>82</v>
      </c>
      <c r="C1882" s="22">
        <v>46175</v>
      </c>
      <c r="D1882" s="23">
        <v>24571</v>
      </c>
    </row>
    <row r="1883" spans="1:4">
      <c r="A1883" t="s">
        <v>18</v>
      </c>
      <c r="B1883" t="s">
        <v>169</v>
      </c>
      <c r="C1883" s="22">
        <v>46175</v>
      </c>
      <c r="D1883" s="23">
        <v>38012</v>
      </c>
    </row>
    <row r="1884" spans="1:4">
      <c r="A1884" t="s">
        <v>18</v>
      </c>
      <c r="B1884" t="s">
        <v>86</v>
      </c>
      <c r="C1884" s="22">
        <v>46175</v>
      </c>
      <c r="D1884" s="23">
        <v>40958</v>
      </c>
    </row>
    <row r="1885" spans="1:4">
      <c r="A1885" t="s">
        <v>18</v>
      </c>
      <c r="B1885" t="s">
        <v>72</v>
      </c>
      <c r="C1885" s="22">
        <v>46175</v>
      </c>
      <c r="D1885" s="23">
        <v>47208</v>
      </c>
    </row>
    <row r="1886" spans="1:4">
      <c r="A1886" t="s">
        <v>21</v>
      </c>
      <c r="B1886" t="s">
        <v>110</v>
      </c>
      <c r="C1886" s="22">
        <v>46176</v>
      </c>
      <c r="D1886" s="23">
        <v>31622</v>
      </c>
    </row>
    <row r="1887" spans="1:4">
      <c r="A1887" t="s">
        <v>21</v>
      </c>
      <c r="B1887" t="s">
        <v>110</v>
      </c>
      <c r="C1887" s="22">
        <v>46176</v>
      </c>
      <c r="D1887" s="23">
        <v>26343</v>
      </c>
    </row>
    <row r="1888" spans="1:4">
      <c r="A1888" t="s">
        <v>26</v>
      </c>
      <c r="B1888" t="s">
        <v>99</v>
      </c>
      <c r="C1888" s="22">
        <v>46176</v>
      </c>
      <c r="D1888" s="23">
        <v>37634</v>
      </c>
    </row>
    <row r="1889" spans="1:4">
      <c r="A1889" t="s">
        <v>23</v>
      </c>
      <c r="B1889" t="s">
        <v>195</v>
      </c>
      <c r="C1889" s="22">
        <v>46176</v>
      </c>
      <c r="D1889" s="23">
        <v>34120</v>
      </c>
    </row>
    <row r="1890" spans="1:4">
      <c r="A1890" t="s">
        <v>29</v>
      </c>
      <c r="B1890" t="s">
        <v>124</v>
      </c>
      <c r="C1890" s="22">
        <v>46176</v>
      </c>
      <c r="D1890" s="23">
        <v>9573</v>
      </c>
    </row>
    <row r="1891" spans="1:4">
      <c r="A1891" t="s">
        <v>20</v>
      </c>
      <c r="B1891" t="s">
        <v>197</v>
      </c>
      <c r="C1891" s="22">
        <v>46176</v>
      </c>
      <c r="D1891" s="23">
        <v>45963</v>
      </c>
    </row>
    <row r="1892" spans="1:4">
      <c r="A1892" t="s">
        <v>20</v>
      </c>
      <c r="B1892" t="s">
        <v>158</v>
      </c>
      <c r="C1892" s="22">
        <v>46176</v>
      </c>
      <c r="D1892" s="23">
        <v>21605</v>
      </c>
    </row>
    <row r="1893" spans="1:4">
      <c r="A1893" t="s">
        <v>20</v>
      </c>
      <c r="B1893" t="s">
        <v>165</v>
      </c>
      <c r="C1893" s="22">
        <v>46176</v>
      </c>
      <c r="D1893" s="23">
        <v>35273</v>
      </c>
    </row>
    <row r="1894" spans="1:4">
      <c r="A1894" t="s">
        <v>20</v>
      </c>
      <c r="B1894" t="s">
        <v>91</v>
      </c>
      <c r="C1894" s="22">
        <v>46176</v>
      </c>
      <c r="D1894" s="23">
        <v>27343</v>
      </c>
    </row>
    <row r="1895" spans="1:4">
      <c r="A1895" t="s">
        <v>18</v>
      </c>
      <c r="B1895" t="s">
        <v>64</v>
      </c>
      <c r="C1895" s="22">
        <v>46176</v>
      </c>
      <c r="D1895" s="23">
        <v>55826</v>
      </c>
    </row>
    <row r="1896" spans="1:4">
      <c r="A1896" t="s">
        <v>18</v>
      </c>
      <c r="B1896" t="s">
        <v>86</v>
      </c>
      <c r="C1896" s="22">
        <v>46176</v>
      </c>
      <c r="D1896" s="23">
        <v>35353</v>
      </c>
    </row>
    <row r="1897" spans="1:4">
      <c r="A1897" t="s">
        <v>18</v>
      </c>
      <c r="B1897" t="s">
        <v>97</v>
      </c>
      <c r="C1897" s="22">
        <v>46176</v>
      </c>
      <c r="D1897" s="23">
        <v>54507</v>
      </c>
    </row>
    <row r="1898" spans="1:4">
      <c r="A1898" t="s">
        <v>39</v>
      </c>
      <c r="B1898" t="s">
        <v>74</v>
      </c>
      <c r="C1898" s="22">
        <v>46177</v>
      </c>
      <c r="D1898" s="23">
        <v>18475</v>
      </c>
    </row>
    <row r="1899" spans="1:4">
      <c r="A1899" t="s">
        <v>21</v>
      </c>
      <c r="B1899" t="s">
        <v>110</v>
      </c>
      <c r="C1899" s="22">
        <v>46177</v>
      </c>
      <c r="D1899" s="23">
        <v>25368</v>
      </c>
    </row>
    <row r="1900" spans="1:4">
      <c r="A1900" t="s">
        <v>21</v>
      </c>
      <c r="B1900" t="s">
        <v>126</v>
      </c>
      <c r="C1900" s="22">
        <v>46177</v>
      </c>
      <c r="D1900" s="23">
        <v>24565</v>
      </c>
    </row>
    <row r="1901" spans="1:4">
      <c r="A1901" t="s">
        <v>31</v>
      </c>
      <c r="B1901" t="s">
        <v>60</v>
      </c>
      <c r="C1901" s="22">
        <v>46177</v>
      </c>
      <c r="D1901" s="23">
        <v>13670</v>
      </c>
    </row>
    <row r="1902" spans="1:4">
      <c r="A1902" t="s">
        <v>25</v>
      </c>
      <c r="B1902" t="s">
        <v>113</v>
      </c>
      <c r="C1902" s="22">
        <v>46177</v>
      </c>
      <c r="D1902" s="23">
        <v>19258</v>
      </c>
    </row>
    <row r="1903" spans="1:4">
      <c r="A1903" t="s">
        <v>23</v>
      </c>
      <c r="B1903" t="s">
        <v>234</v>
      </c>
      <c r="C1903" s="22">
        <v>46177</v>
      </c>
      <c r="D1903" s="23">
        <v>26842</v>
      </c>
    </row>
    <row r="1904" spans="1:4">
      <c r="A1904" t="s">
        <v>18</v>
      </c>
      <c r="B1904" t="s">
        <v>106</v>
      </c>
      <c r="C1904" s="22">
        <v>46177</v>
      </c>
      <c r="D1904" s="23">
        <v>43753</v>
      </c>
    </row>
    <row r="1905" spans="1:4">
      <c r="A1905" t="s">
        <v>18</v>
      </c>
      <c r="B1905" t="s">
        <v>260</v>
      </c>
      <c r="C1905" s="22">
        <v>46177</v>
      </c>
      <c r="D1905" s="23">
        <v>58576</v>
      </c>
    </row>
    <row r="1906" spans="1:4">
      <c r="A1906" t="s">
        <v>18</v>
      </c>
      <c r="B1906" t="s">
        <v>93</v>
      </c>
      <c r="C1906" s="22">
        <v>46177</v>
      </c>
      <c r="D1906" s="23">
        <v>41392</v>
      </c>
    </row>
    <row r="1907" spans="1:4">
      <c r="A1907" t="s">
        <v>18</v>
      </c>
      <c r="B1907" t="s">
        <v>170</v>
      </c>
      <c r="C1907" s="22">
        <v>46177</v>
      </c>
      <c r="D1907" s="23">
        <v>36925</v>
      </c>
    </row>
    <row r="1908" spans="1:4">
      <c r="A1908" t="s">
        <v>18</v>
      </c>
      <c r="B1908" t="s">
        <v>72</v>
      </c>
      <c r="C1908" s="22">
        <v>46177</v>
      </c>
      <c r="D1908" s="23">
        <v>54045</v>
      </c>
    </row>
    <row r="1909" spans="1:4">
      <c r="A1909" t="s">
        <v>18</v>
      </c>
      <c r="B1909" t="s">
        <v>138</v>
      </c>
      <c r="C1909" s="22">
        <v>46177</v>
      </c>
      <c r="D1909" s="23">
        <v>29134</v>
      </c>
    </row>
    <row r="1910" spans="1:4">
      <c r="A1910" t="s">
        <v>21</v>
      </c>
      <c r="B1910" t="s">
        <v>251</v>
      </c>
      <c r="C1910" s="22">
        <v>46178</v>
      </c>
      <c r="D1910" s="23">
        <v>38345</v>
      </c>
    </row>
    <row r="1911" spans="1:4">
      <c r="A1911" t="s">
        <v>21</v>
      </c>
      <c r="B1911" t="s">
        <v>209</v>
      </c>
      <c r="C1911" s="22">
        <v>46178</v>
      </c>
      <c r="D1911" s="23">
        <v>41913</v>
      </c>
    </row>
    <row r="1912" spans="1:4">
      <c r="A1912" t="s">
        <v>33</v>
      </c>
      <c r="B1912" t="s">
        <v>242</v>
      </c>
      <c r="C1912" s="22">
        <v>46178</v>
      </c>
      <c r="D1912" s="23">
        <v>10677</v>
      </c>
    </row>
    <row r="1913" spans="1:4">
      <c r="A1913" t="s">
        <v>25</v>
      </c>
      <c r="B1913" t="s">
        <v>211</v>
      </c>
      <c r="C1913" s="22">
        <v>46178</v>
      </c>
      <c r="D1913" s="23">
        <v>17804</v>
      </c>
    </row>
    <row r="1914" spans="1:4">
      <c r="A1914" t="s">
        <v>23</v>
      </c>
      <c r="B1914" t="s">
        <v>258</v>
      </c>
      <c r="C1914" s="22">
        <v>46178</v>
      </c>
      <c r="D1914" s="23">
        <v>21081</v>
      </c>
    </row>
    <row r="1915" spans="1:4">
      <c r="A1915" t="s">
        <v>22</v>
      </c>
      <c r="B1915" t="s">
        <v>63</v>
      </c>
      <c r="C1915" s="22">
        <v>46178</v>
      </c>
      <c r="D1915" s="23">
        <v>5274</v>
      </c>
    </row>
    <row r="1916" spans="1:4">
      <c r="A1916" t="s">
        <v>22</v>
      </c>
      <c r="B1916" t="s">
        <v>184</v>
      </c>
      <c r="C1916" s="22">
        <v>46178</v>
      </c>
      <c r="D1916" s="23">
        <v>35072</v>
      </c>
    </row>
    <row r="1917" spans="1:4">
      <c r="A1917" t="s">
        <v>20</v>
      </c>
      <c r="B1917" t="s">
        <v>84</v>
      </c>
      <c r="C1917" s="22">
        <v>46178</v>
      </c>
      <c r="D1917" s="23">
        <v>40444</v>
      </c>
    </row>
    <row r="1918" spans="1:4">
      <c r="A1918" t="s">
        <v>18</v>
      </c>
      <c r="B1918" t="s">
        <v>139</v>
      </c>
      <c r="C1918" s="22">
        <v>46178</v>
      </c>
      <c r="D1918" s="23">
        <v>38038</v>
      </c>
    </row>
    <row r="1919" spans="1:4">
      <c r="A1919" t="s">
        <v>18</v>
      </c>
      <c r="B1919" t="s">
        <v>208</v>
      </c>
      <c r="C1919" s="22">
        <v>46178</v>
      </c>
      <c r="D1919" s="23">
        <v>35922</v>
      </c>
    </row>
    <row r="1920" spans="1:4">
      <c r="A1920" t="s">
        <v>18</v>
      </c>
      <c r="B1920" t="s">
        <v>128</v>
      </c>
      <c r="C1920" s="22">
        <v>46178</v>
      </c>
      <c r="D1920" s="23">
        <v>38293</v>
      </c>
    </row>
    <row r="1921" spans="1:4">
      <c r="A1921" t="s">
        <v>21</v>
      </c>
      <c r="B1921" t="s">
        <v>252</v>
      </c>
      <c r="C1921" s="22">
        <v>46179</v>
      </c>
      <c r="D1921" s="23">
        <v>31455</v>
      </c>
    </row>
    <row r="1922" spans="1:4">
      <c r="A1922" t="s">
        <v>20</v>
      </c>
      <c r="B1922" t="s">
        <v>239</v>
      </c>
      <c r="C1922" s="22">
        <v>46179</v>
      </c>
      <c r="D1922" s="23">
        <v>31249</v>
      </c>
    </row>
    <row r="1923" spans="1:4">
      <c r="A1923" t="s">
        <v>20</v>
      </c>
      <c r="B1923" t="s">
        <v>214</v>
      </c>
      <c r="C1923" s="22">
        <v>46179</v>
      </c>
      <c r="D1923" s="23">
        <v>20650</v>
      </c>
    </row>
    <row r="1924" spans="1:4">
      <c r="A1924" t="s">
        <v>18</v>
      </c>
      <c r="B1924" t="s">
        <v>56</v>
      </c>
      <c r="C1924" s="22">
        <v>46179</v>
      </c>
      <c r="D1924" s="23">
        <v>41557</v>
      </c>
    </row>
    <row r="1925" spans="1:4">
      <c r="A1925" t="s">
        <v>18</v>
      </c>
      <c r="B1925" t="s">
        <v>59</v>
      </c>
      <c r="C1925" s="22">
        <v>46179</v>
      </c>
      <c r="D1925" s="23">
        <v>53447</v>
      </c>
    </row>
    <row r="1926" spans="1:4">
      <c r="A1926" t="s">
        <v>18</v>
      </c>
      <c r="B1926" t="s">
        <v>96</v>
      </c>
      <c r="C1926" s="22">
        <v>46179</v>
      </c>
      <c r="D1926" s="23">
        <v>34199</v>
      </c>
    </row>
    <row r="1927" spans="1:4">
      <c r="A1927" t="s">
        <v>18</v>
      </c>
      <c r="B1927" t="s">
        <v>85</v>
      </c>
      <c r="C1927" s="22">
        <v>46179</v>
      </c>
      <c r="D1927" s="23">
        <v>34973</v>
      </c>
    </row>
    <row r="1928" spans="1:4">
      <c r="A1928" t="s">
        <v>22</v>
      </c>
      <c r="B1928" t="s">
        <v>248</v>
      </c>
      <c r="C1928" s="22">
        <v>46180</v>
      </c>
      <c r="D1928" s="23">
        <v>33483</v>
      </c>
    </row>
    <row r="1929" spans="1:4">
      <c r="A1929" t="s">
        <v>20</v>
      </c>
      <c r="B1929" t="s">
        <v>158</v>
      </c>
      <c r="C1929" s="22">
        <v>46180</v>
      </c>
      <c r="D1929" s="23">
        <v>30913</v>
      </c>
    </row>
    <row r="1930" spans="1:4">
      <c r="A1930" t="s">
        <v>20</v>
      </c>
      <c r="B1930" t="s">
        <v>90</v>
      </c>
      <c r="C1930" s="22">
        <v>46180</v>
      </c>
      <c r="D1930" s="23">
        <v>31859</v>
      </c>
    </row>
    <row r="1931" spans="1:4">
      <c r="A1931" t="s">
        <v>20</v>
      </c>
      <c r="B1931" t="s">
        <v>229</v>
      </c>
      <c r="C1931" s="22">
        <v>46180</v>
      </c>
      <c r="D1931" s="23">
        <v>29922</v>
      </c>
    </row>
    <row r="1932" spans="1:4">
      <c r="A1932" t="s">
        <v>20</v>
      </c>
      <c r="B1932" t="s">
        <v>145</v>
      </c>
      <c r="C1932" s="22">
        <v>46180</v>
      </c>
      <c r="D1932" s="23">
        <v>24015</v>
      </c>
    </row>
    <row r="1933" spans="1:4">
      <c r="A1933" t="s">
        <v>20</v>
      </c>
      <c r="B1933" t="s">
        <v>104</v>
      </c>
      <c r="C1933" s="22">
        <v>46180</v>
      </c>
      <c r="D1933" s="23">
        <v>41399</v>
      </c>
    </row>
    <row r="1934" spans="1:4">
      <c r="A1934" t="s">
        <v>18</v>
      </c>
      <c r="B1934" t="s">
        <v>66</v>
      </c>
      <c r="C1934" s="22">
        <v>46180</v>
      </c>
      <c r="D1934" s="23">
        <v>32608</v>
      </c>
    </row>
    <row r="1935" spans="1:4">
      <c r="A1935" t="s">
        <v>18</v>
      </c>
      <c r="B1935" t="s">
        <v>59</v>
      </c>
      <c r="C1935" s="22">
        <v>46180</v>
      </c>
      <c r="D1935" s="23">
        <v>50837</v>
      </c>
    </row>
    <row r="1936" spans="1:4">
      <c r="A1936" t="s">
        <v>18</v>
      </c>
      <c r="B1936" t="s">
        <v>68</v>
      </c>
      <c r="C1936" s="22">
        <v>46180</v>
      </c>
      <c r="D1936" s="23">
        <v>42272</v>
      </c>
    </row>
    <row r="1937" spans="1:4">
      <c r="A1937" t="s">
        <v>18</v>
      </c>
      <c r="B1937" t="s">
        <v>58</v>
      </c>
      <c r="C1937" s="22">
        <v>46180</v>
      </c>
      <c r="D1937" s="23">
        <v>37598</v>
      </c>
    </row>
    <row r="1938" spans="1:4">
      <c r="A1938" t="s">
        <v>18</v>
      </c>
      <c r="B1938" t="s">
        <v>72</v>
      </c>
      <c r="C1938" s="22">
        <v>46180</v>
      </c>
      <c r="D1938" s="23">
        <v>50628</v>
      </c>
    </row>
    <row r="1939" spans="1:4">
      <c r="A1939" t="s">
        <v>21</v>
      </c>
      <c r="B1939" t="s">
        <v>259</v>
      </c>
      <c r="C1939" s="22">
        <v>46181</v>
      </c>
      <c r="D1939" s="23">
        <v>25646</v>
      </c>
    </row>
    <row r="1940" spans="1:4">
      <c r="A1940" t="s">
        <v>21</v>
      </c>
      <c r="B1940" t="s">
        <v>130</v>
      </c>
      <c r="C1940" s="22">
        <v>46181</v>
      </c>
      <c r="D1940" s="23">
        <v>37596</v>
      </c>
    </row>
    <row r="1941" spans="1:4">
      <c r="A1941" t="s">
        <v>33</v>
      </c>
      <c r="B1941" t="s">
        <v>149</v>
      </c>
      <c r="C1941" s="22">
        <v>46181</v>
      </c>
      <c r="D1941" s="23">
        <v>14047</v>
      </c>
    </row>
    <row r="1942" spans="1:4">
      <c r="A1942" t="s">
        <v>26</v>
      </c>
      <c r="B1942" t="s">
        <v>278</v>
      </c>
      <c r="C1942" s="22">
        <v>46181</v>
      </c>
      <c r="D1942" s="23">
        <v>19438</v>
      </c>
    </row>
    <row r="1943" spans="1:4">
      <c r="A1943" t="s">
        <v>22</v>
      </c>
      <c r="B1943" t="s">
        <v>153</v>
      </c>
      <c r="C1943" s="22">
        <v>46181</v>
      </c>
      <c r="D1943" s="23">
        <v>28958</v>
      </c>
    </row>
    <row r="1944" spans="1:4">
      <c r="A1944" t="s">
        <v>22</v>
      </c>
      <c r="B1944" t="s">
        <v>238</v>
      </c>
      <c r="C1944" s="22">
        <v>46181</v>
      </c>
      <c r="D1944" s="23">
        <v>8796</v>
      </c>
    </row>
    <row r="1945" spans="1:4">
      <c r="A1945" t="s">
        <v>18</v>
      </c>
      <c r="B1945" t="s">
        <v>92</v>
      </c>
      <c r="C1945" s="22">
        <v>46181</v>
      </c>
      <c r="D1945" s="23">
        <v>56013</v>
      </c>
    </row>
    <row r="1946" spans="1:4">
      <c r="A1946" t="s">
        <v>18</v>
      </c>
      <c r="B1946" t="s">
        <v>67</v>
      </c>
      <c r="C1946" s="22">
        <v>46181</v>
      </c>
      <c r="D1946" s="23">
        <v>45453</v>
      </c>
    </row>
    <row r="1947" spans="1:4">
      <c r="A1947" t="s">
        <v>18</v>
      </c>
      <c r="B1947" t="s">
        <v>171</v>
      </c>
      <c r="C1947" s="22">
        <v>46181</v>
      </c>
      <c r="D1947" s="23">
        <v>33527</v>
      </c>
    </row>
    <row r="1948" spans="1:4">
      <c r="A1948" t="s">
        <v>18</v>
      </c>
      <c r="B1948" t="s">
        <v>162</v>
      </c>
      <c r="C1948" s="22">
        <v>46181</v>
      </c>
      <c r="D1948" s="23">
        <v>39273</v>
      </c>
    </row>
    <row r="1949" spans="1:4">
      <c r="A1949" t="s">
        <v>28</v>
      </c>
      <c r="B1949" t="s">
        <v>225</v>
      </c>
      <c r="C1949" s="22">
        <v>46182</v>
      </c>
      <c r="D1949" s="23">
        <v>18125</v>
      </c>
    </row>
    <row r="1950" spans="1:4">
      <c r="A1950" t="s">
        <v>21</v>
      </c>
      <c r="B1950" t="s">
        <v>237</v>
      </c>
      <c r="C1950" s="22">
        <v>46182</v>
      </c>
      <c r="D1950" s="23">
        <v>22962</v>
      </c>
    </row>
    <row r="1951" spans="1:4">
      <c r="A1951" t="s">
        <v>21</v>
      </c>
      <c r="B1951" t="s">
        <v>163</v>
      </c>
      <c r="C1951" s="22">
        <v>46182</v>
      </c>
      <c r="D1951" s="23">
        <v>19063</v>
      </c>
    </row>
    <row r="1952" spans="1:4">
      <c r="A1952" t="s">
        <v>27</v>
      </c>
      <c r="B1952" t="s">
        <v>76</v>
      </c>
      <c r="C1952" s="22">
        <v>46182</v>
      </c>
      <c r="D1952" s="23">
        <v>18180</v>
      </c>
    </row>
    <row r="1953" spans="1:4">
      <c r="A1953" t="s">
        <v>23</v>
      </c>
      <c r="B1953" t="s">
        <v>264</v>
      </c>
      <c r="C1953" s="22">
        <v>46182</v>
      </c>
      <c r="D1953" s="23">
        <v>26714</v>
      </c>
    </row>
    <row r="1954" spans="1:4">
      <c r="A1954" t="s">
        <v>22</v>
      </c>
      <c r="B1954" t="s">
        <v>135</v>
      </c>
      <c r="C1954" s="22">
        <v>46182</v>
      </c>
      <c r="D1954" s="23">
        <v>34545</v>
      </c>
    </row>
    <row r="1955" spans="1:4">
      <c r="A1955" t="s">
        <v>18</v>
      </c>
      <c r="B1955" t="s">
        <v>86</v>
      </c>
      <c r="C1955" s="22">
        <v>46182</v>
      </c>
      <c r="D1955" s="23">
        <v>39605</v>
      </c>
    </row>
    <row r="1956" spans="1:4">
      <c r="A1956" t="s">
        <v>37</v>
      </c>
      <c r="B1956" t="s">
        <v>73</v>
      </c>
      <c r="C1956" s="22">
        <v>46183</v>
      </c>
      <c r="D1956" s="23">
        <v>15309</v>
      </c>
    </row>
    <row r="1957" spans="1:4">
      <c r="A1957" t="s">
        <v>21</v>
      </c>
      <c r="B1957" t="s">
        <v>259</v>
      </c>
      <c r="C1957" s="22">
        <v>46183</v>
      </c>
      <c r="D1957" s="23">
        <v>28375</v>
      </c>
    </row>
    <row r="1958" spans="1:4">
      <c r="A1958" t="s">
        <v>26</v>
      </c>
      <c r="B1958" t="s">
        <v>175</v>
      </c>
      <c r="C1958" s="22">
        <v>46183</v>
      </c>
      <c r="D1958" s="23">
        <v>14983</v>
      </c>
    </row>
    <row r="1959" spans="1:4">
      <c r="A1959" t="s">
        <v>26</v>
      </c>
      <c r="B1959" t="s">
        <v>263</v>
      </c>
      <c r="C1959" s="22">
        <v>46183</v>
      </c>
      <c r="D1959" s="23">
        <v>18043</v>
      </c>
    </row>
    <row r="1960" spans="1:4">
      <c r="A1960" t="s">
        <v>26</v>
      </c>
      <c r="B1960" t="s">
        <v>245</v>
      </c>
      <c r="C1960" s="22">
        <v>46183</v>
      </c>
      <c r="D1960" s="23">
        <v>15871</v>
      </c>
    </row>
    <row r="1961" spans="1:4">
      <c r="A1961" t="s">
        <v>31</v>
      </c>
      <c r="B1961" t="s">
        <v>176</v>
      </c>
      <c r="C1961" s="22">
        <v>46183</v>
      </c>
      <c r="D1961" s="23">
        <v>13166</v>
      </c>
    </row>
    <row r="1962" spans="1:4">
      <c r="A1962" t="s">
        <v>18</v>
      </c>
      <c r="B1962" t="s">
        <v>105</v>
      </c>
      <c r="C1962" s="22">
        <v>46183</v>
      </c>
      <c r="D1962" s="23">
        <v>51106</v>
      </c>
    </row>
    <row r="1963" spans="1:4">
      <c r="A1963" t="s">
        <v>18</v>
      </c>
      <c r="B1963" t="s">
        <v>164</v>
      </c>
      <c r="C1963" s="22">
        <v>46183</v>
      </c>
      <c r="D1963" s="23">
        <v>40031</v>
      </c>
    </row>
    <row r="1964" spans="1:4">
      <c r="A1964" t="s">
        <v>18</v>
      </c>
      <c r="B1964" t="s">
        <v>173</v>
      </c>
      <c r="C1964" s="22">
        <v>46183</v>
      </c>
      <c r="D1964" s="23">
        <v>30104</v>
      </c>
    </row>
    <row r="1965" spans="1:4">
      <c r="A1965" t="s">
        <v>18</v>
      </c>
      <c r="B1965" t="s">
        <v>97</v>
      </c>
      <c r="C1965" s="22">
        <v>46183</v>
      </c>
      <c r="D1965" s="23">
        <v>60650</v>
      </c>
    </row>
    <row r="1966" spans="1:4">
      <c r="A1966" t="s">
        <v>28</v>
      </c>
      <c r="B1966" t="s">
        <v>185</v>
      </c>
      <c r="C1966" s="22">
        <v>46184</v>
      </c>
      <c r="D1966" s="23">
        <v>23379</v>
      </c>
    </row>
    <row r="1967" spans="1:4">
      <c r="A1967" t="s">
        <v>21</v>
      </c>
      <c r="B1967" t="s">
        <v>98</v>
      </c>
      <c r="C1967" s="22">
        <v>46184</v>
      </c>
      <c r="D1967" s="23">
        <v>35841</v>
      </c>
    </row>
    <row r="1968" spans="1:4">
      <c r="A1968" t="s">
        <v>21</v>
      </c>
      <c r="B1968" t="s">
        <v>116</v>
      </c>
      <c r="C1968" s="22">
        <v>46184</v>
      </c>
      <c r="D1968" s="23">
        <v>26811</v>
      </c>
    </row>
    <row r="1969" spans="1:4">
      <c r="A1969" t="s">
        <v>33</v>
      </c>
      <c r="B1969" t="s">
        <v>179</v>
      </c>
      <c r="C1969" s="22">
        <v>46184</v>
      </c>
      <c r="D1969" s="23">
        <v>15374</v>
      </c>
    </row>
    <row r="1970" spans="1:4">
      <c r="A1970" t="s">
        <v>25</v>
      </c>
      <c r="B1970" t="s">
        <v>180</v>
      </c>
      <c r="C1970" s="22">
        <v>46184</v>
      </c>
      <c r="D1970" s="23">
        <v>6628</v>
      </c>
    </row>
    <row r="1971" spans="1:4">
      <c r="A1971" t="s">
        <v>25</v>
      </c>
      <c r="B1971" t="s">
        <v>61</v>
      </c>
      <c r="C1971" s="22">
        <v>46184</v>
      </c>
      <c r="D1971" s="23">
        <v>7321</v>
      </c>
    </row>
    <row r="1972" spans="1:4">
      <c r="A1972" t="s">
        <v>22</v>
      </c>
      <c r="B1972" t="s">
        <v>81</v>
      </c>
      <c r="C1972" s="22">
        <v>46184</v>
      </c>
      <c r="D1972" s="23">
        <v>23400</v>
      </c>
    </row>
    <row r="1973" spans="1:4">
      <c r="A1973" t="s">
        <v>20</v>
      </c>
      <c r="B1973" t="s">
        <v>47</v>
      </c>
      <c r="C1973" s="22">
        <v>46184</v>
      </c>
      <c r="D1973" s="23">
        <v>35197</v>
      </c>
    </row>
    <row r="1974" spans="1:4">
      <c r="A1974" t="s">
        <v>20</v>
      </c>
      <c r="B1974" t="s">
        <v>207</v>
      </c>
      <c r="C1974" s="22">
        <v>46184</v>
      </c>
      <c r="D1974" s="23">
        <v>33493</v>
      </c>
    </row>
    <row r="1975" spans="1:4">
      <c r="A1975" t="s">
        <v>20</v>
      </c>
      <c r="B1975" t="s">
        <v>230</v>
      </c>
      <c r="C1975" s="22">
        <v>46184</v>
      </c>
      <c r="D1975" s="23">
        <v>41055</v>
      </c>
    </row>
    <row r="1976" spans="1:4">
      <c r="A1976" t="s">
        <v>18</v>
      </c>
      <c r="B1976" t="s">
        <v>55</v>
      </c>
      <c r="C1976" s="22">
        <v>46184</v>
      </c>
      <c r="D1976" s="23">
        <v>33061</v>
      </c>
    </row>
    <row r="1977" spans="1:4">
      <c r="A1977" t="s">
        <v>18</v>
      </c>
      <c r="B1977" t="s">
        <v>85</v>
      </c>
      <c r="C1977" s="22">
        <v>46184</v>
      </c>
      <c r="D1977" s="23">
        <v>45893</v>
      </c>
    </row>
    <row r="1978" spans="1:4">
      <c r="A1978" t="s">
        <v>28</v>
      </c>
      <c r="B1978" t="s">
        <v>201</v>
      </c>
      <c r="C1978" s="22">
        <v>46185</v>
      </c>
      <c r="D1978" s="23">
        <v>15388</v>
      </c>
    </row>
    <row r="1979" spans="1:4">
      <c r="A1979" t="s">
        <v>28</v>
      </c>
      <c r="B1979" t="s">
        <v>202</v>
      </c>
      <c r="C1979" s="22">
        <v>46185</v>
      </c>
      <c r="D1979" s="23">
        <v>12566</v>
      </c>
    </row>
    <row r="1980" spans="1:4">
      <c r="A1980" t="s">
        <v>27</v>
      </c>
      <c r="B1980" t="s">
        <v>243</v>
      </c>
      <c r="C1980" s="22">
        <v>46185</v>
      </c>
      <c r="D1980" s="23">
        <v>9507</v>
      </c>
    </row>
    <row r="1981" spans="1:4">
      <c r="A1981" t="s">
        <v>27</v>
      </c>
      <c r="B1981" t="s">
        <v>194</v>
      </c>
      <c r="C1981" s="22">
        <v>46185</v>
      </c>
      <c r="D1981" s="23">
        <v>16830</v>
      </c>
    </row>
    <row r="1982" spans="1:4">
      <c r="A1982" t="s">
        <v>23</v>
      </c>
      <c r="B1982" t="s">
        <v>262</v>
      </c>
      <c r="C1982" s="22">
        <v>46185</v>
      </c>
      <c r="D1982" s="23">
        <v>22534</v>
      </c>
    </row>
    <row r="1983" spans="1:4">
      <c r="A1983" t="s">
        <v>22</v>
      </c>
      <c r="B1983" t="s">
        <v>223</v>
      </c>
      <c r="C1983" s="22">
        <v>46185</v>
      </c>
      <c r="D1983" s="23">
        <v>23168</v>
      </c>
    </row>
    <row r="1984" spans="1:4">
      <c r="A1984" t="s">
        <v>20</v>
      </c>
      <c r="B1984" t="s">
        <v>144</v>
      </c>
      <c r="C1984" s="22">
        <v>46185</v>
      </c>
      <c r="D1984" s="23">
        <v>42189</v>
      </c>
    </row>
    <row r="1985" spans="1:4">
      <c r="A1985" t="s">
        <v>18</v>
      </c>
      <c r="B1985" t="s">
        <v>206</v>
      </c>
      <c r="C1985" s="22">
        <v>46185</v>
      </c>
      <c r="D1985" s="23">
        <v>28797</v>
      </c>
    </row>
    <row r="1986" spans="1:4">
      <c r="A1986" t="s">
        <v>18</v>
      </c>
      <c r="B1986" t="s">
        <v>117</v>
      </c>
      <c r="C1986" s="22">
        <v>46185</v>
      </c>
      <c r="D1986" s="23">
        <v>41164</v>
      </c>
    </row>
    <row r="1987" spans="1:4">
      <c r="A1987" t="s">
        <v>18</v>
      </c>
      <c r="B1987" t="s">
        <v>70</v>
      </c>
      <c r="C1987" s="22">
        <v>46185</v>
      </c>
      <c r="D1987" s="23">
        <v>26832</v>
      </c>
    </row>
    <row r="1988" spans="1:4">
      <c r="A1988" t="s">
        <v>22</v>
      </c>
      <c r="B1988" t="s">
        <v>52</v>
      </c>
      <c r="C1988" s="22">
        <v>46186</v>
      </c>
      <c r="D1988" s="23">
        <v>45883</v>
      </c>
    </row>
    <row r="1989" spans="1:4">
      <c r="A1989" t="s">
        <v>22</v>
      </c>
      <c r="B1989" t="s">
        <v>213</v>
      </c>
      <c r="C1989" s="22">
        <v>46186</v>
      </c>
      <c r="D1989" s="23">
        <v>29607</v>
      </c>
    </row>
    <row r="1990" spans="1:4">
      <c r="A1990" t="s">
        <v>20</v>
      </c>
      <c r="B1990" t="s">
        <v>144</v>
      </c>
      <c r="C1990" s="22">
        <v>46186</v>
      </c>
      <c r="D1990" s="23">
        <v>32181</v>
      </c>
    </row>
    <row r="1991" spans="1:4">
      <c r="A1991" t="s">
        <v>20</v>
      </c>
      <c r="B1991" t="s">
        <v>272</v>
      </c>
      <c r="C1991" s="22">
        <v>46186</v>
      </c>
      <c r="D1991" s="23">
        <v>31421</v>
      </c>
    </row>
    <row r="1992" spans="1:4">
      <c r="A1992" t="s">
        <v>20</v>
      </c>
      <c r="B1992" t="s">
        <v>103</v>
      </c>
      <c r="C1992" s="22">
        <v>46186</v>
      </c>
      <c r="D1992" s="23">
        <v>21287</v>
      </c>
    </row>
    <row r="1993" spans="1:4">
      <c r="A1993" t="s">
        <v>20</v>
      </c>
      <c r="B1993" t="s">
        <v>168</v>
      </c>
      <c r="C1993" s="22">
        <v>46186</v>
      </c>
      <c r="D1993" s="23">
        <v>33453</v>
      </c>
    </row>
    <row r="1994" spans="1:4">
      <c r="A1994" t="s">
        <v>20</v>
      </c>
      <c r="B1994" t="s">
        <v>230</v>
      </c>
      <c r="C1994" s="22">
        <v>46186</v>
      </c>
      <c r="D1994" s="23">
        <v>42459</v>
      </c>
    </row>
    <row r="1995" spans="1:4">
      <c r="A1995" t="s">
        <v>20</v>
      </c>
      <c r="B1995" t="s">
        <v>265</v>
      </c>
      <c r="C1995" s="22">
        <v>46186</v>
      </c>
      <c r="D1995" s="23">
        <v>28144</v>
      </c>
    </row>
    <row r="1996" spans="1:4">
      <c r="A1996" t="s">
        <v>18</v>
      </c>
      <c r="B1996" t="s">
        <v>105</v>
      </c>
      <c r="C1996" s="22">
        <v>46186</v>
      </c>
      <c r="D1996" s="23">
        <v>37724</v>
      </c>
    </row>
    <row r="1997" spans="1:4">
      <c r="A1997" t="s">
        <v>18</v>
      </c>
      <c r="B1997" t="s">
        <v>71</v>
      </c>
      <c r="C1997" s="22">
        <v>46186</v>
      </c>
      <c r="D1997" s="23">
        <v>45603</v>
      </c>
    </row>
    <row r="1998" spans="1:4">
      <c r="A1998" t="s">
        <v>31</v>
      </c>
      <c r="B1998" t="s">
        <v>273</v>
      </c>
      <c r="C1998" s="22">
        <v>46187</v>
      </c>
      <c r="D1998" s="23">
        <v>20702</v>
      </c>
    </row>
    <row r="1999" spans="1:4">
      <c r="A1999" t="s">
        <v>25</v>
      </c>
      <c r="B1999" t="s">
        <v>132</v>
      </c>
      <c r="C1999" s="22">
        <v>46187</v>
      </c>
      <c r="D1999" s="23">
        <v>16605</v>
      </c>
    </row>
    <row r="2000" spans="1:4">
      <c r="A2000" t="s">
        <v>34</v>
      </c>
      <c r="B2000" t="s">
        <v>51</v>
      </c>
      <c r="C2000" s="22">
        <v>46187</v>
      </c>
      <c r="D2000" s="23">
        <v>5200</v>
      </c>
    </row>
    <row r="2001" spans="1:4">
      <c r="A2001" t="s">
        <v>36</v>
      </c>
      <c r="B2001" t="s">
        <v>101</v>
      </c>
      <c r="C2001" s="22">
        <v>46187</v>
      </c>
      <c r="D2001" s="23">
        <v>26276</v>
      </c>
    </row>
    <row r="2002" spans="1:4">
      <c r="A2002" t="s">
        <v>23</v>
      </c>
      <c r="B2002" t="s">
        <v>187</v>
      </c>
      <c r="C2002" s="22">
        <v>46187</v>
      </c>
      <c r="D2002" s="23">
        <v>22659</v>
      </c>
    </row>
    <row r="2003" spans="1:4">
      <c r="A2003" t="s">
        <v>29</v>
      </c>
      <c r="B2003" t="s">
        <v>160</v>
      </c>
      <c r="C2003" s="22">
        <v>46187</v>
      </c>
      <c r="D2003" s="23">
        <v>23995</v>
      </c>
    </row>
    <row r="2004" spans="1:4">
      <c r="A2004" t="s">
        <v>22</v>
      </c>
      <c r="B2004" t="s">
        <v>183</v>
      </c>
      <c r="C2004" s="22">
        <v>46187</v>
      </c>
      <c r="D2004" s="23">
        <v>27652</v>
      </c>
    </row>
    <row r="2005" spans="1:4">
      <c r="A2005" t="s">
        <v>20</v>
      </c>
      <c r="B2005" t="s">
        <v>91</v>
      </c>
      <c r="C2005" s="22">
        <v>46187</v>
      </c>
      <c r="D2005" s="23">
        <v>33863</v>
      </c>
    </row>
    <row r="2006" spans="1:4">
      <c r="A2006" t="s">
        <v>18</v>
      </c>
      <c r="B2006" t="s">
        <v>93</v>
      </c>
      <c r="C2006" s="22">
        <v>46187</v>
      </c>
      <c r="D2006" s="23">
        <v>61918</v>
      </c>
    </row>
    <row r="2007" spans="1:4">
      <c r="A2007" t="s">
        <v>18</v>
      </c>
      <c r="B2007" t="s">
        <v>53</v>
      </c>
      <c r="C2007" s="22">
        <v>46187</v>
      </c>
      <c r="D2007" s="23">
        <v>21902</v>
      </c>
    </row>
    <row r="2008" spans="1:4">
      <c r="A2008" t="s">
        <v>18</v>
      </c>
      <c r="B2008" t="s">
        <v>159</v>
      </c>
      <c r="C2008" s="22">
        <v>46187</v>
      </c>
      <c r="D2008" s="23">
        <v>41729</v>
      </c>
    </row>
    <row r="2009" spans="1:4">
      <c r="A2009" t="s">
        <v>18</v>
      </c>
      <c r="B2009" t="s">
        <v>159</v>
      </c>
      <c r="C2009" s="22">
        <v>46187</v>
      </c>
      <c r="D2009" s="23">
        <v>36598</v>
      </c>
    </row>
    <row r="2010" spans="1:4">
      <c r="A2010" t="s">
        <v>18</v>
      </c>
      <c r="B2010" t="s">
        <v>71</v>
      </c>
      <c r="C2010" s="22">
        <v>46187</v>
      </c>
      <c r="D2010" s="23">
        <v>44221</v>
      </c>
    </row>
    <row r="2011" spans="1:4">
      <c r="A2011" t="s">
        <v>18</v>
      </c>
      <c r="B2011" t="s">
        <v>108</v>
      </c>
      <c r="C2011" s="22">
        <v>46187</v>
      </c>
      <c r="D2011" s="23">
        <v>39892</v>
      </c>
    </row>
    <row r="2012" spans="1:4">
      <c r="A2012" t="s">
        <v>28</v>
      </c>
      <c r="B2012" t="s">
        <v>235</v>
      </c>
      <c r="C2012" s="22">
        <v>46188</v>
      </c>
      <c r="D2012" s="23">
        <v>20476</v>
      </c>
    </row>
    <row r="2013" spans="1:4">
      <c r="A2013" t="s">
        <v>28</v>
      </c>
      <c r="B2013" t="s">
        <v>218</v>
      </c>
      <c r="C2013" s="22">
        <v>46188</v>
      </c>
      <c r="D2013" s="23">
        <v>20879</v>
      </c>
    </row>
    <row r="2014" spans="1:4">
      <c r="A2014" t="s">
        <v>21</v>
      </c>
      <c r="B2014" t="s">
        <v>252</v>
      </c>
      <c r="C2014" s="22">
        <v>46188</v>
      </c>
      <c r="D2014" s="23">
        <v>28101</v>
      </c>
    </row>
    <row r="2015" spans="1:4">
      <c r="A2015" t="s">
        <v>21</v>
      </c>
      <c r="B2015" t="s">
        <v>65</v>
      </c>
      <c r="C2015" s="22">
        <v>46188</v>
      </c>
      <c r="D2015" s="23">
        <v>45610</v>
      </c>
    </row>
    <row r="2016" spans="1:4">
      <c r="A2016" t="s">
        <v>29</v>
      </c>
      <c r="B2016" t="s">
        <v>141</v>
      </c>
      <c r="C2016" s="22">
        <v>46188</v>
      </c>
      <c r="D2016" s="23">
        <v>10884</v>
      </c>
    </row>
    <row r="2017" spans="1:4">
      <c r="A2017" t="s">
        <v>20</v>
      </c>
      <c r="B2017" t="s">
        <v>126</v>
      </c>
      <c r="C2017" s="22">
        <v>46188</v>
      </c>
      <c r="D2017" s="23">
        <v>25770</v>
      </c>
    </row>
    <row r="2018" spans="1:4">
      <c r="A2018" t="s">
        <v>18</v>
      </c>
      <c r="B2018" t="s">
        <v>54</v>
      </c>
      <c r="C2018" s="22">
        <v>46188</v>
      </c>
      <c r="D2018" s="23">
        <v>55356</v>
      </c>
    </row>
    <row r="2019" spans="1:4">
      <c r="A2019" t="s">
        <v>18</v>
      </c>
      <c r="B2019" t="s">
        <v>54</v>
      </c>
      <c r="C2019" s="22">
        <v>46188</v>
      </c>
      <c r="D2019" s="23">
        <v>34164</v>
      </c>
    </row>
    <row r="2020" spans="1:4">
      <c r="A2020" t="s">
        <v>18</v>
      </c>
      <c r="B2020" t="s">
        <v>85</v>
      </c>
      <c r="C2020" s="22">
        <v>46188</v>
      </c>
      <c r="D2020" s="23">
        <v>43168</v>
      </c>
    </row>
    <row r="2021" spans="1:4">
      <c r="A2021" t="s">
        <v>18</v>
      </c>
      <c r="B2021" t="s">
        <v>69</v>
      </c>
      <c r="C2021" s="22">
        <v>46188</v>
      </c>
      <c r="D2021" s="23">
        <v>39387</v>
      </c>
    </row>
    <row r="2022" spans="1:4">
      <c r="A2022" t="s">
        <v>18</v>
      </c>
      <c r="B2022" t="s">
        <v>159</v>
      </c>
      <c r="C2022" s="22">
        <v>46188</v>
      </c>
      <c r="D2022" s="23">
        <v>37061</v>
      </c>
    </row>
    <row r="2023" spans="1:4">
      <c r="A2023" t="s">
        <v>21</v>
      </c>
      <c r="B2023" t="s">
        <v>75</v>
      </c>
      <c r="C2023" s="22">
        <v>46189</v>
      </c>
      <c r="D2023" s="23">
        <v>30585</v>
      </c>
    </row>
    <row r="2024" spans="1:4">
      <c r="A2024" t="s">
        <v>21</v>
      </c>
      <c r="B2024" t="s">
        <v>254</v>
      </c>
      <c r="C2024" s="22">
        <v>46189</v>
      </c>
      <c r="D2024" s="23">
        <v>25841</v>
      </c>
    </row>
    <row r="2025" spans="1:4">
      <c r="A2025" t="s">
        <v>31</v>
      </c>
      <c r="B2025" t="s">
        <v>193</v>
      </c>
      <c r="C2025" s="22">
        <v>46189</v>
      </c>
      <c r="D2025" s="23">
        <v>12942</v>
      </c>
    </row>
    <row r="2026" spans="1:4">
      <c r="A2026" t="s">
        <v>25</v>
      </c>
      <c r="B2026" t="s">
        <v>112</v>
      </c>
      <c r="C2026" s="22">
        <v>46189</v>
      </c>
      <c r="D2026" s="23">
        <v>29882</v>
      </c>
    </row>
    <row r="2027" spans="1:4">
      <c r="A2027" t="s">
        <v>25</v>
      </c>
      <c r="B2027" t="s">
        <v>274</v>
      </c>
      <c r="C2027" s="22">
        <v>46189</v>
      </c>
      <c r="D2027" s="23">
        <v>18571</v>
      </c>
    </row>
    <row r="2028" spans="1:4">
      <c r="A2028" t="s">
        <v>25</v>
      </c>
      <c r="B2028" t="s">
        <v>120</v>
      </c>
      <c r="C2028" s="22">
        <v>46189</v>
      </c>
      <c r="D2028" s="23">
        <v>18877</v>
      </c>
    </row>
    <row r="2029" spans="1:4">
      <c r="A2029" t="s">
        <v>20</v>
      </c>
      <c r="B2029" t="s">
        <v>103</v>
      </c>
      <c r="C2029" s="22">
        <v>46189</v>
      </c>
      <c r="D2029" s="23">
        <v>30324</v>
      </c>
    </row>
    <row r="2030" spans="1:4">
      <c r="A2030" t="s">
        <v>20</v>
      </c>
      <c r="B2030" t="s">
        <v>168</v>
      </c>
      <c r="C2030" s="22">
        <v>46189</v>
      </c>
      <c r="D2030" s="23">
        <v>21656</v>
      </c>
    </row>
    <row r="2031" spans="1:4">
      <c r="A2031" t="s">
        <v>20</v>
      </c>
      <c r="B2031" t="s">
        <v>250</v>
      </c>
      <c r="C2031" s="22">
        <v>46189</v>
      </c>
      <c r="D2031" s="23">
        <v>27416</v>
      </c>
    </row>
    <row r="2032" spans="1:4">
      <c r="A2032" t="s">
        <v>20</v>
      </c>
      <c r="B2032" t="s">
        <v>265</v>
      </c>
      <c r="C2032" s="22">
        <v>46189</v>
      </c>
      <c r="D2032" s="23">
        <v>34864</v>
      </c>
    </row>
    <row r="2033" spans="1:4">
      <c r="A2033" t="s">
        <v>18</v>
      </c>
      <c r="B2033" t="s">
        <v>94</v>
      </c>
      <c r="C2033" s="22">
        <v>46189</v>
      </c>
      <c r="D2033" s="23">
        <v>43122</v>
      </c>
    </row>
    <row r="2034" spans="1:4">
      <c r="A2034" t="s">
        <v>18</v>
      </c>
      <c r="B2034" t="s">
        <v>162</v>
      </c>
      <c r="C2034" s="22">
        <v>46189</v>
      </c>
      <c r="D2034" s="23">
        <v>33312</v>
      </c>
    </row>
    <row r="2035" spans="1:4">
      <c r="A2035" t="s">
        <v>18</v>
      </c>
      <c r="B2035" t="s">
        <v>172</v>
      </c>
      <c r="C2035" s="22">
        <v>46189</v>
      </c>
      <c r="D2035" s="23">
        <v>36726</v>
      </c>
    </row>
    <row r="2036" spans="1:4">
      <c r="A2036" t="s">
        <v>18</v>
      </c>
      <c r="B2036" t="s">
        <v>139</v>
      </c>
      <c r="C2036" s="22">
        <v>46189</v>
      </c>
      <c r="D2036" s="23">
        <v>34183</v>
      </c>
    </row>
    <row r="2037" spans="1:4">
      <c r="A2037" t="s">
        <v>21</v>
      </c>
      <c r="B2037" t="s">
        <v>67</v>
      </c>
      <c r="C2037" s="22">
        <v>46190</v>
      </c>
      <c r="D2037" s="23">
        <v>37550</v>
      </c>
    </row>
    <row r="2038" spans="1:4">
      <c r="A2038" t="s">
        <v>21</v>
      </c>
      <c r="B2038" t="s">
        <v>163</v>
      </c>
      <c r="C2038" s="22">
        <v>46190</v>
      </c>
      <c r="D2038" s="23">
        <v>26100</v>
      </c>
    </row>
    <row r="2039" spans="1:4">
      <c r="A2039" t="s">
        <v>27</v>
      </c>
      <c r="B2039" t="s">
        <v>155</v>
      </c>
      <c r="C2039" s="22">
        <v>46190</v>
      </c>
      <c r="D2039" s="23">
        <v>17326</v>
      </c>
    </row>
    <row r="2040" spans="1:4">
      <c r="A2040" t="s">
        <v>25</v>
      </c>
      <c r="B2040" t="s">
        <v>275</v>
      </c>
      <c r="C2040" s="22">
        <v>46190</v>
      </c>
      <c r="D2040" s="23">
        <v>15896</v>
      </c>
    </row>
    <row r="2041" spans="1:4">
      <c r="A2041" t="s">
        <v>22</v>
      </c>
      <c r="B2041" t="s">
        <v>137</v>
      </c>
      <c r="C2041" s="22">
        <v>46190</v>
      </c>
      <c r="D2041" s="23">
        <v>8689</v>
      </c>
    </row>
    <row r="2042" spans="1:4">
      <c r="A2042" t="s">
        <v>22</v>
      </c>
      <c r="B2042" t="s">
        <v>183</v>
      </c>
      <c r="C2042" s="22">
        <v>46190</v>
      </c>
      <c r="D2042" s="23">
        <v>27567</v>
      </c>
    </row>
    <row r="2043" spans="1:4">
      <c r="A2043" t="s">
        <v>20</v>
      </c>
      <c r="B2043" t="s">
        <v>69</v>
      </c>
      <c r="C2043" s="22">
        <v>46190</v>
      </c>
      <c r="D2043" s="23">
        <v>37762</v>
      </c>
    </row>
    <row r="2044" spans="1:4">
      <c r="A2044" t="s">
        <v>20</v>
      </c>
      <c r="B2044" t="s">
        <v>104</v>
      </c>
      <c r="C2044" s="22">
        <v>46190</v>
      </c>
      <c r="D2044" s="23">
        <v>42770</v>
      </c>
    </row>
    <row r="2045" spans="1:4">
      <c r="A2045" t="s">
        <v>20</v>
      </c>
      <c r="B2045" t="s">
        <v>82</v>
      </c>
      <c r="C2045" s="22">
        <v>46190</v>
      </c>
      <c r="D2045" s="23">
        <v>31036</v>
      </c>
    </row>
    <row r="2046" spans="1:4">
      <c r="A2046" t="s">
        <v>18</v>
      </c>
      <c r="B2046" t="s">
        <v>66</v>
      </c>
      <c r="C2046" s="22">
        <v>46190</v>
      </c>
      <c r="D2046" s="23">
        <v>32574</v>
      </c>
    </row>
    <row r="2047" spans="1:4">
      <c r="A2047" t="s">
        <v>18</v>
      </c>
      <c r="B2047" t="s">
        <v>190</v>
      </c>
      <c r="C2047" s="22">
        <v>46190</v>
      </c>
      <c r="D2047" s="23">
        <v>41308</v>
      </c>
    </row>
    <row r="2048" spans="1:4">
      <c r="A2048" t="s">
        <v>18</v>
      </c>
      <c r="B2048" t="s">
        <v>56</v>
      </c>
      <c r="C2048" s="22">
        <v>46190</v>
      </c>
      <c r="D2048" s="23">
        <v>48524</v>
      </c>
    </row>
    <row r="2049" spans="1:4">
      <c r="A2049" t="s">
        <v>18</v>
      </c>
      <c r="B2049" t="s">
        <v>171</v>
      </c>
      <c r="C2049" s="22">
        <v>46190</v>
      </c>
      <c r="D2049" s="23">
        <v>32086</v>
      </c>
    </row>
    <row r="2050" spans="1:4">
      <c r="A2050" t="s">
        <v>18</v>
      </c>
      <c r="B2050" t="s">
        <v>96</v>
      </c>
      <c r="C2050" s="22">
        <v>46190</v>
      </c>
      <c r="D2050" s="23">
        <v>44362</v>
      </c>
    </row>
    <row r="2051" spans="1:4">
      <c r="A2051" t="s">
        <v>18</v>
      </c>
      <c r="B2051" t="s">
        <v>68</v>
      </c>
      <c r="C2051" s="22">
        <v>46190</v>
      </c>
      <c r="D2051" s="23">
        <v>37074</v>
      </c>
    </row>
    <row r="2052" spans="1:4">
      <c r="A2052" t="s">
        <v>18</v>
      </c>
      <c r="B2052" t="s">
        <v>117</v>
      </c>
      <c r="C2052" s="22">
        <v>46190</v>
      </c>
      <c r="D2052" s="23">
        <v>56547</v>
      </c>
    </row>
    <row r="2053" spans="1:4">
      <c r="A2053" t="s">
        <v>18</v>
      </c>
      <c r="B2053" t="s">
        <v>159</v>
      </c>
      <c r="C2053" s="22">
        <v>46190</v>
      </c>
      <c r="D2053" s="23">
        <v>32717</v>
      </c>
    </row>
    <row r="2054" spans="1:4">
      <c r="A2054" t="s">
        <v>18</v>
      </c>
      <c r="B2054" t="s">
        <v>108</v>
      </c>
      <c r="C2054" s="22">
        <v>46190</v>
      </c>
      <c r="D2054" s="23">
        <v>33481</v>
      </c>
    </row>
    <row r="2055" spans="1:4">
      <c r="A2055" t="s">
        <v>34</v>
      </c>
      <c r="B2055" t="s">
        <v>186</v>
      </c>
      <c r="C2055" s="22">
        <v>46191</v>
      </c>
      <c r="D2055" s="23">
        <v>13864</v>
      </c>
    </row>
    <row r="2056" spans="1:4">
      <c r="A2056" t="s">
        <v>23</v>
      </c>
      <c r="B2056" t="s">
        <v>232</v>
      </c>
      <c r="C2056" s="22">
        <v>46191</v>
      </c>
      <c r="D2056" s="23">
        <v>6086</v>
      </c>
    </row>
    <row r="2057" spans="1:4">
      <c r="A2057" t="s">
        <v>22</v>
      </c>
      <c r="B2057" t="s">
        <v>148</v>
      </c>
      <c r="C2057" s="22">
        <v>46191</v>
      </c>
      <c r="D2057" s="23">
        <v>31675</v>
      </c>
    </row>
    <row r="2058" spans="1:4">
      <c r="A2058" t="s">
        <v>22</v>
      </c>
      <c r="B2058" t="s">
        <v>145</v>
      </c>
      <c r="C2058" s="22">
        <v>46191</v>
      </c>
      <c r="D2058" s="23">
        <v>31828</v>
      </c>
    </row>
    <row r="2059" spans="1:4">
      <c r="A2059" t="s">
        <v>22</v>
      </c>
      <c r="B2059" t="s">
        <v>280</v>
      </c>
      <c r="C2059" s="22">
        <v>46191</v>
      </c>
      <c r="D2059" s="23">
        <v>27027</v>
      </c>
    </row>
    <row r="2060" spans="1:4">
      <c r="A2060" t="s">
        <v>20</v>
      </c>
      <c r="B2060" t="s">
        <v>116</v>
      </c>
      <c r="C2060" s="22">
        <v>46191</v>
      </c>
      <c r="D2060" s="23">
        <v>36133</v>
      </c>
    </row>
    <row r="2061" spans="1:4">
      <c r="A2061" t="s">
        <v>18</v>
      </c>
      <c r="B2061" t="s">
        <v>105</v>
      </c>
      <c r="C2061" s="22">
        <v>46191</v>
      </c>
      <c r="D2061" s="23">
        <v>51425</v>
      </c>
    </row>
    <row r="2062" spans="1:4">
      <c r="A2062" t="s">
        <v>18</v>
      </c>
      <c r="B2062" t="s">
        <v>147</v>
      </c>
      <c r="C2062" s="22">
        <v>46191</v>
      </c>
      <c r="D2062" s="23">
        <v>6839</v>
      </c>
    </row>
    <row r="2063" spans="1:4">
      <c r="A2063" t="s">
        <v>18</v>
      </c>
      <c r="B2063" t="s">
        <v>96</v>
      </c>
      <c r="C2063" s="22">
        <v>46191</v>
      </c>
      <c r="D2063" s="23">
        <v>54294</v>
      </c>
    </row>
    <row r="2064" spans="1:4">
      <c r="A2064" t="s">
        <v>18</v>
      </c>
      <c r="B2064" t="s">
        <v>57</v>
      </c>
      <c r="C2064" s="22">
        <v>46191</v>
      </c>
      <c r="D2064" s="23">
        <v>34304</v>
      </c>
    </row>
    <row r="2065" spans="1:4">
      <c r="A2065" t="s">
        <v>21</v>
      </c>
      <c r="B2065" t="s">
        <v>237</v>
      </c>
      <c r="C2065" s="22">
        <v>46192</v>
      </c>
      <c r="D2065" s="23">
        <v>25488</v>
      </c>
    </row>
    <row r="2066" spans="1:4">
      <c r="A2066" t="s">
        <v>21</v>
      </c>
      <c r="B2066" t="s">
        <v>131</v>
      </c>
      <c r="C2066" s="22">
        <v>46192</v>
      </c>
      <c r="D2066" s="23">
        <v>27636</v>
      </c>
    </row>
    <row r="2067" spans="1:4">
      <c r="A2067" t="s">
        <v>31</v>
      </c>
      <c r="B2067" t="s">
        <v>49</v>
      </c>
      <c r="C2067" s="22">
        <v>46192</v>
      </c>
      <c r="D2067" s="23">
        <v>10996</v>
      </c>
    </row>
    <row r="2068" spans="1:4">
      <c r="A2068" t="s">
        <v>27</v>
      </c>
      <c r="B2068" t="s">
        <v>177</v>
      </c>
      <c r="C2068" s="22">
        <v>46192</v>
      </c>
      <c r="D2068" s="23">
        <v>35263</v>
      </c>
    </row>
    <row r="2069" spans="1:4">
      <c r="A2069" t="s">
        <v>23</v>
      </c>
      <c r="B2069" t="s">
        <v>62</v>
      </c>
      <c r="C2069" s="22">
        <v>46192</v>
      </c>
      <c r="D2069" s="23">
        <v>22453</v>
      </c>
    </row>
    <row r="2070" spans="1:4">
      <c r="A2070" t="s">
        <v>23</v>
      </c>
      <c r="B2070" t="s">
        <v>233</v>
      </c>
      <c r="C2070" s="22">
        <v>46192</v>
      </c>
      <c r="D2070" s="23">
        <v>22969</v>
      </c>
    </row>
    <row r="2071" spans="1:4">
      <c r="A2071" t="s">
        <v>23</v>
      </c>
      <c r="B2071" t="s">
        <v>114</v>
      </c>
      <c r="C2071" s="22">
        <v>46192</v>
      </c>
      <c r="D2071" s="23">
        <v>21296</v>
      </c>
    </row>
    <row r="2072" spans="1:4">
      <c r="A2072" t="s">
        <v>20</v>
      </c>
      <c r="B2072" t="s">
        <v>83</v>
      </c>
      <c r="C2072" s="22">
        <v>46192</v>
      </c>
      <c r="D2072" s="23">
        <v>29065</v>
      </c>
    </row>
    <row r="2073" spans="1:4">
      <c r="A2073" t="s">
        <v>18</v>
      </c>
      <c r="B2073" t="s">
        <v>92</v>
      </c>
      <c r="C2073" s="22">
        <v>46192</v>
      </c>
      <c r="D2073" s="23">
        <v>52134</v>
      </c>
    </row>
    <row r="2074" spans="1:4">
      <c r="A2074" t="s">
        <v>18</v>
      </c>
      <c r="B2074" t="s">
        <v>102</v>
      </c>
      <c r="C2074" s="22">
        <v>46192</v>
      </c>
      <c r="D2074" s="23">
        <v>41048</v>
      </c>
    </row>
    <row r="2075" spans="1:4">
      <c r="A2075" t="s">
        <v>18</v>
      </c>
      <c r="B2075" t="s">
        <v>260</v>
      </c>
      <c r="C2075" s="22">
        <v>46192</v>
      </c>
      <c r="D2075" s="23">
        <v>40607</v>
      </c>
    </row>
    <row r="2076" spans="1:4">
      <c r="A2076" t="s">
        <v>18</v>
      </c>
      <c r="B2076" t="s">
        <v>192</v>
      </c>
      <c r="C2076" s="22">
        <v>46192</v>
      </c>
      <c r="D2076" s="23">
        <v>48978</v>
      </c>
    </row>
    <row r="2077" spans="1:4">
      <c r="A2077" t="s">
        <v>18</v>
      </c>
      <c r="B2077" t="s">
        <v>70</v>
      </c>
      <c r="C2077" s="22">
        <v>46192</v>
      </c>
      <c r="D2077" s="23">
        <v>35390</v>
      </c>
    </row>
    <row r="2078" spans="1:4">
      <c r="A2078" t="s">
        <v>18</v>
      </c>
      <c r="B2078" t="s">
        <v>97</v>
      </c>
      <c r="C2078" s="22">
        <v>46192</v>
      </c>
      <c r="D2078" s="23">
        <v>51712</v>
      </c>
    </row>
    <row r="2079" spans="1:4">
      <c r="A2079" t="s">
        <v>18</v>
      </c>
      <c r="B2079" t="s">
        <v>108</v>
      </c>
      <c r="C2079" s="22">
        <v>46192</v>
      </c>
      <c r="D2079" s="23">
        <v>26379</v>
      </c>
    </row>
    <row r="2080" spans="1:4">
      <c r="A2080" t="s">
        <v>26</v>
      </c>
      <c r="B2080" t="s">
        <v>109</v>
      </c>
      <c r="C2080" s="22">
        <v>46193</v>
      </c>
      <c r="D2080" s="23">
        <v>18608</v>
      </c>
    </row>
    <row r="2081" spans="1:4">
      <c r="A2081" t="s">
        <v>26</v>
      </c>
      <c r="B2081" t="s">
        <v>220</v>
      </c>
      <c r="C2081" s="22">
        <v>46193</v>
      </c>
      <c r="D2081" s="23">
        <v>17295</v>
      </c>
    </row>
    <row r="2082" spans="1:4">
      <c r="A2082" t="s">
        <v>32</v>
      </c>
      <c r="B2082" t="s">
        <v>178</v>
      </c>
      <c r="C2082" s="22">
        <v>46193</v>
      </c>
      <c r="D2082" s="23">
        <v>9652</v>
      </c>
    </row>
    <row r="2083" spans="1:4">
      <c r="A2083" t="s">
        <v>32</v>
      </c>
      <c r="B2083" t="s">
        <v>156</v>
      </c>
      <c r="C2083" s="22">
        <v>46193</v>
      </c>
      <c r="D2083" s="23">
        <v>13979</v>
      </c>
    </row>
    <row r="2084" spans="1:4">
      <c r="A2084" t="s">
        <v>20</v>
      </c>
      <c r="B2084" t="s">
        <v>169</v>
      </c>
      <c r="C2084" s="22">
        <v>46193</v>
      </c>
      <c r="D2084" s="23">
        <v>31887</v>
      </c>
    </row>
    <row r="2085" spans="1:4">
      <c r="A2085" t="s">
        <v>20</v>
      </c>
      <c r="B2085" t="s">
        <v>83</v>
      </c>
      <c r="C2085" s="22">
        <v>46193</v>
      </c>
      <c r="D2085" s="23">
        <v>32451</v>
      </c>
    </row>
    <row r="2086" spans="1:4">
      <c r="A2086" t="s">
        <v>20</v>
      </c>
      <c r="B2086" t="s">
        <v>138</v>
      </c>
      <c r="C2086" s="22">
        <v>46193</v>
      </c>
      <c r="D2086" s="23">
        <v>42762</v>
      </c>
    </row>
    <row r="2087" spans="1:4">
      <c r="A2087" t="s">
        <v>18</v>
      </c>
      <c r="B2087" t="s">
        <v>55</v>
      </c>
      <c r="C2087" s="22">
        <v>46193</v>
      </c>
      <c r="D2087" s="23">
        <v>47680</v>
      </c>
    </row>
    <row r="2088" spans="1:4">
      <c r="A2088" t="s">
        <v>18</v>
      </c>
      <c r="B2088" t="s">
        <v>55</v>
      </c>
      <c r="C2088" s="22">
        <v>46193</v>
      </c>
      <c r="D2088" s="23">
        <v>36998</v>
      </c>
    </row>
    <row r="2089" spans="1:4">
      <c r="A2089" t="s">
        <v>18</v>
      </c>
      <c r="B2089" t="s">
        <v>64</v>
      </c>
      <c r="C2089" s="22">
        <v>46193</v>
      </c>
      <c r="D2089" s="23">
        <v>44239</v>
      </c>
    </row>
    <row r="2090" spans="1:4">
      <c r="A2090" t="s">
        <v>28</v>
      </c>
      <c r="B2090" t="s">
        <v>198</v>
      </c>
      <c r="C2090" s="22">
        <v>46194</v>
      </c>
      <c r="D2090" s="23">
        <v>12897</v>
      </c>
    </row>
    <row r="2091" spans="1:4">
      <c r="A2091" t="s">
        <v>21</v>
      </c>
      <c r="B2091" t="s">
        <v>146</v>
      </c>
      <c r="C2091" s="22">
        <v>46194</v>
      </c>
      <c r="D2091" s="23">
        <v>27813</v>
      </c>
    </row>
    <row r="2092" spans="1:4">
      <c r="A2092" t="s">
        <v>40</v>
      </c>
      <c r="B2092" t="s">
        <v>88</v>
      </c>
      <c r="C2092" s="22">
        <v>46194</v>
      </c>
      <c r="D2092" s="23">
        <v>6440</v>
      </c>
    </row>
    <row r="2093" spans="1:4">
      <c r="A2093" t="s">
        <v>27</v>
      </c>
      <c r="B2093" t="s">
        <v>256</v>
      </c>
      <c r="C2093" s="22">
        <v>46194</v>
      </c>
      <c r="D2093" s="23">
        <v>15748</v>
      </c>
    </row>
    <row r="2094" spans="1:4">
      <c r="A2094" t="s">
        <v>27</v>
      </c>
      <c r="B2094" t="s">
        <v>166</v>
      </c>
      <c r="C2094" s="22">
        <v>46194</v>
      </c>
      <c r="D2094" s="23">
        <v>15210</v>
      </c>
    </row>
    <row r="2095" spans="1:4">
      <c r="A2095" t="s">
        <v>32</v>
      </c>
      <c r="B2095" t="s">
        <v>50</v>
      </c>
      <c r="C2095" s="22">
        <v>46194</v>
      </c>
      <c r="D2095" s="23">
        <v>29088</v>
      </c>
    </row>
    <row r="2096" spans="1:4">
      <c r="A2096" t="s">
        <v>34</v>
      </c>
      <c r="B2096" t="s">
        <v>281</v>
      </c>
      <c r="C2096" s="22">
        <v>46194</v>
      </c>
      <c r="D2096" s="23">
        <v>6094</v>
      </c>
    </row>
    <row r="2097" spans="1:4">
      <c r="A2097" t="s">
        <v>23</v>
      </c>
      <c r="B2097" t="s">
        <v>62</v>
      </c>
      <c r="C2097" s="22">
        <v>46194</v>
      </c>
      <c r="D2097" s="23">
        <v>23365</v>
      </c>
    </row>
    <row r="2098" spans="1:4">
      <c r="A2098" t="s">
        <v>23</v>
      </c>
      <c r="B2098" t="s">
        <v>212</v>
      </c>
      <c r="C2098" s="22">
        <v>46194</v>
      </c>
      <c r="D2098" s="23">
        <v>26110</v>
      </c>
    </row>
    <row r="2099" spans="1:4">
      <c r="A2099" t="s">
        <v>35</v>
      </c>
      <c r="B2099" t="s">
        <v>196</v>
      </c>
      <c r="C2099" s="22">
        <v>46194</v>
      </c>
      <c r="D2099" s="23">
        <v>13965</v>
      </c>
    </row>
    <row r="2100" spans="1:4">
      <c r="A2100" t="s">
        <v>35</v>
      </c>
      <c r="B2100" t="s">
        <v>123</v>
      </c>
      <c r="C2100" s="22">
        <v>46194</v>
      </c>
      <c r="D2100" s="23">
        <v>14268</v>
      </c>
    </row>
    <row r="2101" spans="1:4">
      <c r="A2101" t="s">
        <v>22</v>
      </c>
      <c r="B2101" t="s">
        <v>133</v>
      </c>
      <c r="C2101" s="22">
        <v>46194</v>
      </c>
      <c r="D2101" s="23">
        <v>26004</v>
      </c>
    </row>
    <row r="2102" spans="1:4">
      <c r="A2102" t="s">
        <v>20</v>
      </c>
      <c r="B2102" t="s">
        <v>136</v>
      </c>
      <c r="C2102" s="22">
        <v>46194</v>
      </c>
      <c r="D2102" s="23">
        <v>28677</v>
      </c>
    </row>
    <row r="2103" spans="1:4">
      <c r="A2103" t="s">
        <v>20</v>
      </c>
      <c r="B2103" t="s">
        <v>115</v>
      </c>
      <c r="C2103" s="22">
        <v>46194</v>
      </c>
      <c r="D2103" s="23">
        <v>38372</v>
      </c>
    </row>
    <row r="2104" spans="1:4">
      <c r="A2104" t="s">
        <v>20</v>
      </c>
      <c r="B2104" t="s">
        <v>127</v>
      </c>
      <c r="C2104" s="22">
        <v>46194</v>
      </c>
      <c r="D2104" s="23">
        <v>32307</v>
      </c>
    </row>
    <row r="2105" spans="1:4">
      <c r="A2105" t="s">
        <v>20</v>
      </c>
      <c r="B2105" t="s">
        <v>107</v>
      </c>
      <c r="C2105" s="22">
        <v>46194</v>
      </c>
      <c r="D2105" s="23">
        <v>34907</v>
      </c>
    </row>
    <row r="2106" spans="1:4">
      <c r="A2106" t="s">
        <v>18</v>
      </c>
      <c r="B2106" t="s">
        <v>59</v>
      </c>
      <c r="C2106" s="22">
        <v>46194</v>
      </c>
      <c r="D2106" s="23">
        <v>44994</v>
      </c>
    </row>
    <row r="2107" spans="1:4">
      <c r="A2107" t="s">
        <v>18</v>
      </c>
      <c r="B2107" t="s">
        <v>67</v>
      </c>
      <c r="C2107" s="22">
        <v>46194</v>
      </c>
      <c r="D2107" s="23">
        <v>51380</v>
      </c>
    </row>
    <row r="2108" spans="1:4">
      <c r="A2108" t="s">
        <v>18</v>
      </c>
      <c r="B2108" t="s">
        <v>162</v>
      </c>
      <c r="C2108" s="22">
        <v>46194</v>
      </c>
      <c r="D2108" s="23">
        <v>46647</v>
      </c>
    </row>
    <row r="2109" spans="1:4">
      <c r="A2109" t="s">
        <v>18</v>
      </c>
      <c r="B2109" t="s">
        <v>129</v>
      </c>
      <c r="C2109" s="22">
        <v>46194</v>
      </c>
      <c r="D2109" s="23">
        <v>21688</v>
      </c>
    </row>
    <row r="2110" spans="1:4">
      <c r="A2110" t="s">
        <v>21</v>
      </c>
      <c r="B2110" t="s">
        <v>226</v>
      </c>
      <c r="C2110" s="22">
        <v>46195</v>
      </c>
      <c r="D2110" s="23">
        <v>40273</v>
      </c>
    </row>
    <row r="2111" spans="1:4">
      <c r="A2111" t="s">
        <v>21</v>
      </c>
      <c r="B2111" t="s">
        <v>118</v>
      </c>
      <c r="C2111" s="22">
        <v>46195</v>
      </c>
      <c r="D2111" s="23">
        <v>57875</v>
      </c>
    </row>
    <row r="2112" spans="1:4">
      <c r="A2112" t="s">
        <v>26</v>
      </c>
      <c r="B2112" t="s">
        <v>276</v>
      </c>
      <c r="C2112" s="22">
        <v>46195</v>
      </c>
      <c r="D2112" s="23">
        <v>33914</v>
      </c>
    </row>
    <row r="2113" spans="1:4">
      <c r="A2113" t="s">
        <v>27</v>
      </c>
      <c r="B2113" t="s">
        <v>100</v>
      </c>
      <c r="C2113" s="22">
        <v>46195</v>
      </c>
      <c r="D2113" s="23">
        <v>18472</v>
      </c>
    </row>
    <row r="2114" spans="1:4">
      <c r="A2114" t="s">
        <v>25</v>
      </c>
      <c r="B2114" t="s">
        <v>181</v>
      </c>
      <c r="C2114" s="22">
        <v>46195</v>
      </c>
      <c r="D2114" s="23">
        <v>19547</v>
      </c>
    </row>
    <row r="2115" spans="1:4">
      <c r="A2115" t="s">
        <v>35</v>
      </c>
      <c r="B2115" t="s">
        <v>122</v>
      </c>
      <c r="C2115" s="22">
        <v>46195</v>
      </c>
      <c r="D2115" s="23">
        <v>13683</v>
      </c>
    </row>
    <row r="2116" spans="1:4">
      <c r="A2116" t="s">
        <v>22</v>
      </c>
      <c r="B2116" t="s">
        <v>188</v>
      </c>
      <c r="C2116" s="22">
        <v>46195</v>
      </c>
      <c r="D2116" s="23">
        <v>32436</v>
      </c>
    </row>
    <row r="2117" spans="1:4">
      <c r="A2117" t="s">
        <v>22</v>
      </c>
      <c r="B2117" t="s">
        <v>265</v>
      </c>
      <c r="C2117" s="22">
        <v>46195</v>
      </c>
      <c r="D2117" s="23">
        <v>28240</v>
      </c>
    </row>
    <row r="2118" spans="1:4">
      <c r="A2118" t="s">
        <v>20</v>
      </c>
      <c r="B2118" t="s">
        <v>55</v>
      </c>
      <c r="C2118" s="22">
        <v>46195</v>
      </c>
      <c r="D2118" s="23">
        <v>41880</v>
      </c>
    </row>
    <row r="2119" spans="1:4">
      <c r="A2119" t="s">
        <v>20</v>
      </c>
      <c r="B2119" t="s">
        <v>170</v>
      </c>
      <c r="C2119" s="22">
        <v>46195</v>
      </c>
      <c r="D2119" s="23">
        <v>38777</v>
      </c>
    </row>
    <row r="2120" spans="1:4">
      <c r="A2120" t="s">
        <v>20</v>
      </c>
      <c r="B2120" t="s">
        <v>145</v>
      </c>
      <c r="C2120" s="22">
        <v>46195</v>
      </c>
      <c r="D2120" s="23">
        <v>36087</v>
      </c>
    </row>
    <row r="2121" spans="1:4">
      <c r="A2121" t="s">
        <v>18</v>
      </c>
      <c r="B2121" t="s">
        <v>117</v>
      </c>
      <c r="C2121" s="22">
        <v>46195</v>
      </c>
      <c r="D2121" s="23">
        <v>51552</v>
      </c>
    </row>
    <row r="2122" spans="1:4">
      <c r="A2122" t="s">
        <v>18</v>
      </c>
      <c r="B2122" t="s">
        <v>224</v>
      </c>
      <c r="C2122" s="22">
        <v>46195</v>
      </c>
      <c r="D2122" s="23">
        <v>30209</v>
      </c>
    </row>
    <row r="2123" spans="1:4">
      <c r="A2123" t="s">
        <v>18</v>
      </c>
      <c r="B2123" t="s">
        <v>107</v>
      </c>
      <c r="C2123" s="22">
        <v>46195</v>
      </c>
      <c r="D2123" s="23">
        <v>34442</v>
      </c>
    </row>
    <row r="2124" spans="1:4">
      <c r="A2124" t="s">
        <v>18</v>
      </c>
      <c r="B2124" t="s">
        <v>107</v>
      </c>
      <c r="C2124" s="22">
        <v>46195</v>
      </c>
      <c r="D2124" s="23">
        <v>45521</v>
      </c>
    </row>
    <row r="2125" spans="1:4">
      <c r="A2125" t="s">
        <v>21</v>
      </c>
      <c r="B2125" t="s">
        <v>277</v>
      </c>
      <c r="C2125" s="22">
        <v>46196</v>
      </c>
      <c r="D2125" s="23">
        <v>35415</v>
      </c>
    </row>
    <row r="2126" spans="1:4">
      <c r="A2126" t="s">
        <v>21</v>
      </c>
      <c r="B2126" t="s">
        <v>253</v>
      </c>
      <c r="C2126" s="22">
        <v>46196</v>
      </c>
      <c r="D2126" s="23">
        <v>26623</v>
      </c>
    </row>
    <row r="2127" spans="1:4">
      <c r="A2127" t="s">
        <v>21</v>
      </c>
      <c r="B2127" t="s">
        <v>57</v>
      </c>
      <c r="C2127" s="22">
        <v>46196</v>
      </c>
      <c r="D2127" s="23">
        <v>49743</v>
      </c>
    </row>
    <row r="2128" spans="1:4">
      <c r="A2128" t="s">
        <v>21</v>
      </c>
      <c r="B2128" t="s">
        <v>119</v>
      </c>
      <c r="C2128" s="22">
        <v>46196</v>
      </c>
      <c r="D2128" s="23">
        <v>36886</v>
      </c>
    </row>
    <row r="2129" spans="1:4">
      <c r="A2129" t="s">
        <v>21</v>
      </c>
      <c r="B2129" t="s">
        <v>104</v>
      </c>
      <c r="C2129" s="22">
        <v>46196</v>
      </c>
      <c r="D2129" s="23">
        <v>40675</v>
      </c>
    </row>
    <row r="2130" spans="1:4">
      <c r="A2130" t="s">
        <v>26</v>
      </c>
      <c r="B2130" t="s">
        <v>150</v>
      </c>
      <c r="C2130" s="22">
        <v>46196</v>
      </c>
      <c r="D2130" s="23">
        <v>13149</v>
      </c>
    </row>
    <row r="2131" spans="1:4">
      <c r="A2131" t="s">
        <v>26</v>
      </c>
      <c r="B2131" t="s">
        <v>255</v>
      </c>
      <c r="C2131" s="22">
        <v>46196</v>
      </c>
      <c r="D2131" s="23">
        <v>5200</v>
      </c>
    </row>
    <row r="2132" spans="1:4">
      <c r="A2132" t="s">
        <v>23</v>
      </c>
      <c r="B2132" t="s">
        <v>204</v>
      </c>
      <c r="C2132" s="22">
        <v>46196</v>
      </c>
      <c r="D2132" s="23">
        <v>5391</v>
      </c>
    </row>
    <row r="2133" spans="1:4">
      <c r="A2133" t="s">
        <v>22</v>
      </c>
      <c r="B2133" t="s">
        <v>134</v>
      </c>
      <c r="C2133" s="22">
        <v>46196</v>
      </c>
      <c r="D2133" s="23">
        <v>24176</v>
      </c>
    </row>
    <row r="2134" spans="1:4">
      <c r="A2134" t="s">
        <v>22</v>
      </c>
      <c r="B2134" t="s">
        <v>125</v>
      </c>
      <c r="C2134" s="22">
        <v>46196</v>
      </c>
      <c r="D2134" s="23">
        <v>33619</v>
      </c>
    </row>
    <row r="2135" spans="1:4">
      <c r="A2135" t="s">
        <v>20</v>
      </c>
      <c r="B2135" t="s">
        <v>87</v>
      </c>
      <c r="C2135" s="22">
        <v>46196</v>
      </c>
      <c r="D2135" s="23">
        <v>22956</v>
      </c>
    </row>
    <row r="2136" spans="1:4">
      <c r="A2136" t="s">
        <v>20</v>
      </c>
      <c r="B2136" t="s">
        <v>146</v>
      </c>
      <c r="C2136" s="22">
        <v>46196</v>
      </c>
      <c r="D2136" s="23">
        <v>29314</v>
      </c>
    </row>
    <row r="2137" spans="1:4">
      <c r="A2137" t="s">
        <v>20</v>
      </c>
      <c r="B2137" t="s">
        <v>250</v>
      </c>
      <c r="C2137" s="22">
        <v>46196</v>
      </c>
      <c r="D2137" s="23">
        <v>25828</v>
      </c>
    </row>
    <row r="2138" spans="1:4">
      <c r="A2138" t="s">
        <v>20</v>
      </c>
      <c r="B2138" t="s">
        <v>161</v>
      </c>
      <c r="C2138" s="22">
        <v>46196</v>
      </c>
      <c r="D2138" s="23">
        <v>35792</v>
      </c>
    </row>
    <row r="2139" spans="1:4">
      <c r="A2139" t="s">
        <v>20</v>
      </c>
      <c r="B2139" t="s">
        <v>165</v>
      </c>
      <c r="C2139" s="22">
        <v>46196</v>
      </c>
      <c r="D2139" s="23">
        <v>40264</v>
      </c>
    </row>
    <row r="2140" spans="1:4">
      <c r="A2140" t="s">
        <v>18</v>
      </c>
      <c r="B2140" t="s">
        <v>54</v>
      </c>
      <c r="C2140" s="22">
        <v>46196</v>
      </c>
      <c r="D2140" s="23">
        <v>35342</v>
      </c>
    </row>
    <row r="2141" spans="1:4">
      <c r="A2141" t="s">
        <v>18</v>
      </c>
      <c r="B2141" t="s">
        <v>69</v>
      </c>
      <c r="C2141" s="22">
        <v>46196</v>
      </c>
      <c r="D2141" s="23">
        <v>29466</v>
      </c>
    </row>
    <row r="2142" spans="1:4">
      <c r="A2142" t="s">
        <v>18</v>
      </c>
      <c r="B2142" t="s">
        <v>172</v>
      </c>
      <c r="C2142" s="22">
        <v>46196</v>
      </c>
      <c r="D2142" s="23">
        <v>35525</v>
      </c>
    </row>
    <row r="2143" spans="1:4">
      <c r="A2143" t="s">
        <v>21</v>
      </c>
      <c r="B2143" t="s">
        <v>246</v>
      </c>
      <c r="C2143" s="22">
        <v>46197</v>
      </c>
      <c r="D2143" s="23">
        <v>27577</v>
      </c>
    </row>
    <row r="2144" spans="1:4">
      <c r="A2144" t="s">
        <v>21</v>
      </c>
      <c r="B2144" t="s">
        <v>140</v>
      </c>
      <c r="C2144" s="22">
        <v>46197</v>
      </c>
      <c r="D2144" s="23">
        <v>36193</v>
      </c>
    </row>
    <row r="2145" spans="1:4">
      <c r="A2145" t="s">
        <v>33</v>
      </c>
      <c r="B2145" t="s">
        <v>154</v>
      </c>
      <c r="C2145" s="22">
        <v>46197</v>
      </c>
      <c r="D2145" s="23">
        <v>11285</v>
      </c>
    </row>
    <row r="2146" spans="1:4">
      <c r="A2146" t="s">
        <v>31</v>
      </c>
      <c r="B2146" t="s">
        <v>111</v>
      </c>
      <c r="C2146" s="22">
        <v>46197</v>
      </c>
      <c r="D2146" s="23">
        <v>14967</v>
      </c>
    </row>
    <row r="2147" spans="1:4">
      <c r="A2147" t="s">
        <v>25</v>
      </c>
      <c r="B2147" t="s">
        <v>244</v>
      </c>
      <c r="C2147" s="22">
        <v>46197</v>
      </c>
      <c r="D2147" s="23">
        <v>16594</v>
      </c>
    </row>
    <row r="2148" spans="1:4">
      <c r="A2148" t="s">
        <v>20</v>
      </c>
      <c r="B2148" t="s">
        <v>207</v>
      </c>
      <c r="C2148" s="22">
        <v>46197</v>
      </c>
      <c r="D2148" s="23">
        <v>44752</v>
      </c>
    </row>
    <row r="2149" spans="1:4">
      <c r="A2149" t="s">
        <v>20</v>
      </c>
      <c r="B2149" t="s">
        <v>239</v>
      </c>
      <c r="C2149" s="22">
        <v>46197</v>
      </c>
      <c r="D2149" s="23">
        <v>32075</v>
      </c>
    </row>
    <row r="2150" spans="1:4">
      <c r="A2150" t="s">
        <v>20</v>
      </c>
      <c r="B2150" t="s">
        <v>89</v>
      </c>
      <c r="C2150" s="22">
        <v>46197</v>
      </c>
      <c r="D2150" s="23">
        <v>32910</v>
      </c>
    </row>
    <row r="2151" spans="1:4">
      <c r="A2151" t="s">
        <v>20</v>
      </c>
      <c r="B2151" t="s">
        <v>116</v>
      </c>
      <c r="C2151" s="22">
        <v>46197</v>
      </c>
      <c r="D2151" s="23">
        <v>27036</v>
      </c>
    </row>
    <row r="2152" spans="1:4">
      <c r="A2152" t="s">
        <v>18</v>
      </c>
      <c r="B2152" t="s">
        <v>66</v>
      </c>
      <c r="C2152" s="22">
        <v>46197</v>
      </c>
      <c r="D2152" s="23">
        <v>23835</v>
      </c>
    </row>
    <row r="2153" spans="1:4">
      <c r="A2153" t="s">
        <v>18</v>
      </c>
      <c r="B2153" t="s">
        <v>64</v>
      </c>
      <c r="C2153" s="22">
        <v>46197</v>
      </c>
      <c r="D2153" s="23">
        <v>40241</v>
      </c>
    </row>
    <row r="2154" spans="1:4">
      <c r="A2154" t="s">
        <v>18</v>
      </c>
      <c r="B2154" t="s">
        <v>171</v>
      </c>
      <c r="C2154" s="22">
        <v>46197</v>
      </c>
      <c r="D2154" s="23">
        <v>46740</v>
      </c>
    </row>
    <row r="2155" spans="1:4">
      <c r="A2155" t="s">
        <v>18</v>
      </c>
      <c r="B2155" t="s">
        <v>128</v>
      </c>
      <c r="C2155" s="22">
        <v>46197</v>
      </c>
      <c r="D2155" s="23">
        <v>43670</v>
      </c>
    </row>
    <row r="2156" spans="1:4">
      <c r="A2156" t="s">
        <v>21</v>
      </c>
      <c r="B2156" t="s">
        <v>191</v>
      </c>
      <c r="C2156" s="22">
        <v>46198</v>
      </c>
      <c r="D2156" s="23">
        <v>57590</v>
      </c>
    </row>
    <row r="2157" spans="1:4">
      <c r="A2157" t="s">
        <v>23</v>
      </c>
      <c r="B2157" t="s">
        <v>78</v>
      </c>
      <c r="C2157" s="22">
        <v>46198</v>
      </c>
      <c r="D2157" s="23">
        <v>17777</v>
      </c>
    </row>
    <row r="2158" spans="1:4">
      <c r="A2158" t="s">
        <v>22</v>
      </c>
      <c r="B2158" t="s">
        <v>80</v>
      </c>
      <c r="C2158" s="22">
        <v>46198</v>
      </c>
      <c r="D2158" s="23">
        <v>18850</v>
      </c>
    </row>
    <row r="2159" spans="1:4">
      <c r="A2159" t="s">
        <v>38</v>
      </c>
      <c r="B2159" t="s">
        <v>157</v>
      </c>
      <c r="C2159" s="22">
        <v>46198</v>
      </c>
      <c r="D2159" s="23">
        <v>14008</v>
      </c>
    </row>
    <row r="2160" spans="1:4">
      <c r="A2160" t="s">
        <v>18</v>
      </c>
      <c r="B2160" t="s">
        <v>95</v>
      </c>
      <c r="C2160" s="22">
        <v>46198</v>
      </c>
      <c r="D2160" s="23">
        <v>47955</v>
      </c>
    </row>
    <row r="2161" spans="1:4">
      <c r="A2161" t="s">
        <v>18</v>
      </c>
      <c r="B2161" t="s">
        <v>118</v>
      </c>
      <c r="C2161" s="22">
        <v>46198</v>
      </c>
      <c r="D2161" s="23">
        <v>40677</v>
      </c>
    </row>
    <row r="2162" spans="1:4">
      <c r="A2162" t="s">
        <v>21</v>
      </c>
      <c r="B2162" t="s">
        <v>146</v>
      </c>
      <c r="C2162" s="22">
        <v>46199</v>
      </c>
      <c r="D2162" s="23">
        <v>30364</v>
      </c>
    </row>
    <row r="2163" spans="1:4">
      <c r="A2163" t="s">
        <v>26</v>
      </c>
      <c r="B2163" t="s">
        <v>270</v>
      </c>
      <c r="C2163" s="22">
        <v>46199</v>
      </c>
      <c r="D2163" s="23">
        <v>33379</v>
      </c>
    </row>
    <row r="2164" spans="1:4">
      <c r="A2164" t="s">
        <v>20</v>
      </c>
      <c r="B2164" t="s">
        <v>215</v>
      </c>
      <c r="C2164" s="22">
        <v>46199</v>
      </c>
      <c r="D2164" s="23">
        <v>26761</v>
      </c>
    </row>
    <row r="2165" spans="1:4">
      <c r="A2165" t="s">
        <v>20</v>
      </c>
      <c r="B2165" t="s">
        <v>91</v>
      </c>
      <c r="C2165" s="22">
        <v>46199</v>
      </c>
      <c r="D2165" s="23">
        <v>29186</v>
      </c>
    </row>
    <row r="2166" spans="1:4">
      <c r="A2166" t="s">
        <v>18</v>
      </c>
      <c r="B2166" t="s">
        <v>106</v>
      </c>
      <c r="C2166" s="22">
        <v>46199</v>
      </c>
      <c r="D2166" s="23">
        <v>41665</v>
      </c>
    </row>
    <row r="2167" spans="1:4">
      <c r="A2167" t="s">
        <v>18</v>
      </c>
      <c r="B2167" t="s">
        <v>96</v>
      </c>
      <c r="C2167" s="22">
        <v>46199</v>
      </c>
      <c r="D2167" s="23">
        <v>47698</v>
      </c>
    </row>
    <row r="2168" spans="1:4">
      <c r="A2168" t="s">
        <v>18</v>
      </c>
      <c r="B2168" t="s">
        <v>96</v>
      </c>
      <c r="C2168" s="22">
        <v>46199</v>
      </c>
      <c r="D2168" s="23">
        <v>34469</v>
      </c>
    </row>
    <row r="2169" spans="1:4">
      <c r="A2169" t="s">
        <v>18</v>
      </c>
      <c r="B2169" t="s">
        <v>70</v>
      </c>
      <c r="C2169" s="22">
        <v>46199</v>
      </c>
      <c r="D2169" s="23">
        <v>31601</v>
      </c>
    </row>
    <row r="2170" spans="1:4">
      <c r="A2170" t="s">
        <v>18</v>
      </c>
      <c r="B2170" t="s">
        <v>173</v>
      </c>
      <c r="C2170" s="22">
        <v>46199</v>
      </c>
      <c r="D2170" s="23">
        <v>35728</v>
      </c>
    </row>
    <row r="2171" spans="1:4">
      <c r="A2171" t="s">
        <v>26</v>
      </c>
      <c r="B2171" t="s">
        <v>182</v>
      </c>
      <c r="C2171" s="22">
        <v>46200</v>
      </c>
      <c r="D2171" s="23">
        <v>24702</v>
      </c>
    </row>
    <row r="2172" spans="1:4">
      <c r="A2172" t="s">
        <v>31</v>
      </c>
      <c r="B2172" t="s">
        <v>151</v>
      </c>
      <c r="C2172" s="22">
        <v>46200</v>
      </c>
      <c r="D2172" s="23">
        <v>15469</v>
      </c>
    </row>
    <row r="2173" spans="1:4">
      <c r="A2173" t="s">
        <v>27</v>
      </c>
      <c r="B2173" t="s">
        <v>152</v>
      </c>
      <c r="C2173" s="22">
        <v>46200</v>
      </c>
      <c r="D2173" s="23">
        <v>18661</v>
      </c>
    </row>
    <row r="2174" spans="1:4">
      <c r="A2174" t="s">
        <v>27</v>
      </c>
      <c r="B2174" t="s">
        <v>247</v>
      </c>
      <c r="C2174" s="22">
        <v>46200</v>
      </c>
      <c r="D2174" s="23">
        <v>15205</v>
      </c>
    </row>
    <row r="2175" spans="1:4">
      <c r="A2175" t="s">
        <v>29</v>
      </c>
      <c r="B2175" t="s">
        <v>283</v>
      </c>
      <c r="C2175" s="22">
        <v>46200</v>
      </c>
      <c r="D2175" s="23">
        <v>14660</v>
      </c>
    </row>
    <row r="2176" spans="1:4">
      <c r="A2176" t="s">
        <v>29</v>
      </c>
      <c r="B2176" t="s">
        <v>227</v>
      </c>
      <c r="C2176" s="22">
        <v>46200</v>
      </c>
      <c r="D2176" s="23">
        <v>14207</v>
      </c>
    </row>
    <row r="2177" spans="1:4">
      <c r="A2177" t="s">
        <v>22</v>
      </c>
      <c r="B2177" t="s">
        <v>249</v>
      </c>
      <c r="C2177" s="22">
        <v>46200</v>
      </c>
      <c r="D2177" s="23">
        <v>36946</v>
      </c>
    </row>
    <row r="2178" spans="1:4">
      <c r="A2178" t="s">
        <v>18</v>
      </c>
      <c r="B2178" t="s">
        <v>172</v>
      </c>
      <c r="C2178" s="22">
        <v>46200</v>
      </c>
      <c r="D2178" s="23">
        <v>38630</v>
      </c>
    </row>
    <row r="2179" spans="1:4">
      <c r="A2179" t="s">
        <v>28</v>
      </c>
      <c r="B2179" t="s">
        <v>216</v>
      </c>
      <c r="C2179" s="22">
        <v>46201</v>
      </c>
      <c r="D2179" s="23">
        <v>15381</v>
      </c>
    </row>
    <row r="2180" spans="1:4">
      <c r="A2180" t="s">
        <v>21</v>
      </c>
      <c r="B2180" t="s">
        <v>130</v>
      </c>
      <c r="C2180" s="22">
        <v>46201</v>
      </c>
      <c r="D2180" s="23">
        <v>30415</v>
      </c>
    </row>
    <row r="2181" spans="1:4">
      <c r="A2181" t="s">
        <v>21</v>
      </c>
      <c r="B2181" t="s">
        <v>86</v>
      </c>
      <c r="C2181" s="22">
        <v>46201</v>
      </c>
      <c r="D2181" s="23">
        <v>39571</v>
      </c>
    </row>
    <row r="2182" spans="1:4">
      <c r="A2182" t="s">
        <v>33</v>
      </c>
      <c r="B2182" t="s">
        <v>241</v>
      </c>
      <c r="C2182" s="22">
        <v>46201</v>
      </c>
      <c r="D2182" s="23">
        <v>11555</v>
      </c>
    </row>
    <row r="2183" spans="1:4">
      <c r="A2183" t="s">
        <v>23</v>
      </c>
      <c r="B2183" t="s">
        <v>77</v>
      </c>
      <c r="C2183" s="22">
        <v>46201</v>
      </c>
      <c r="D2183" s="23">
        <v>22891</v>
      </c>
    </row>
    <row r="2184" spans="1:4">
      <c r="A2184" t="s">
        <v>29</v>
      </c>
      <c r="B2184" t="s">
        <v>222</v>
      </c>
      <c r="C2184" s="22">
        <v>46201</v>
      </c>
      <c r="D2184" s="23">
        <v>9623</v>
      </c>
    </row>
    <row r="2185" spans="1:4">
      <c r="A2185" t="s">
        <v>20</v>
      </c>
      <c r="B2185" t="s">
        <v>199</v>
      </c>
      <c r="C2185" s="22">
        <v>46201</v>
      </c>
      <c r="D2185" s="23">
        <v>60364</v>
      </c>
    </row>
    <row r="2186" spans="1:4">
      <c r="A2186" t="s">
        <v>18</v>
      </c>
      <c r="B2186" t="s">
        <v>106</v>
      </c>
      <c r="C2186" s="22">
        <v>46201</v>
      </c>
      <c r="D2186" s="23">
        <v>45854</v>
      </c>
    </row>
    <row r="2187" spans="1:4">
      <c r="A2187" t="s">
        <v>18</v>
      </c>
      <c r="B2187" t="s">
        <v>190</v>
      </c>
      <c r="C2187" s="22">
        <v>46201</v>
      </c>
      <c r="D2187" s="23">
        <v>37261</v>
      </c>
    </row>
    <row r="2188" spans="1:4">
      <c r="A2188" t="s">
        <v>18</v>
      </c>
      <c r="B2188" t="s">
        <v>159</v>
      </c>
      <c r="C2188" s="22">
        <v>46201</v>
      </c>
      <c r="D2188" s="23">
        <v>45562</v>
      </c>
    </row>
    <row r="2189" spans="1:4">
      <c r="A2189" t="s">
        <v>18</v>
      </c>
      <c r="B2189" t="s">
        <v>107</v>
      </c>
      <c r="C2189" s="22">
        <v>46201</v>
      </c>
      <c r="D2189" s="23">
        <v>31534</v>
      </c>
    </row>
    <row r="2190" spans="1:4">
      <c r="A2190" t="s">
        <v>21</v>
      </c>
      <c r="B2190" t="s">
        <v>174</v>
      </c>
      <c r="C2190" s="22">
        <v>46202</v>
      </c>
      <c r="D2190" s="23">
        <v>30490</v>
      </c>
    </row>
    <row r="2191" spans="1:4">
      <c r="A2191" t="s">
        <v>21</v>
      </c>
      <c r="B2191" t="s">
        <v>246</v>
      </c>
      <c r="C2191" s="22">
        <v>46202</v>
      </c>
      <c r="D2191" s="23">
        <v>34679</v>
      </c>
    </row>
    <row r="2192" spans="1:4">
      <c r="A2192" t="s">
        <v>26</v>
      </c>
      <c r="B2192" t="s">
        <v>203</v>
      </c>
      <c r="C2192" s="22">
        <v>46202</v>
      </c>
      <c r="D2192" s="23">
        <v>14753</v>
      </c>
    </row>
    <row r="2193" spans="1:4">
      <c r="A2193" t="s">
        <v>25</v>
      </c>
      <c r="B2193" t="s">
        <v>228</v>
      </c>
      <c r="C2193" s="22">
        <v>46202</v>
      </c>
      <c r="D2193" s="23">
        <v>20583</v>
      </c>
    </row>
    <row r="2194" spans="1:4">
      <c r="A2194" t="s">
        <v>34</v>
      </c>
      <c r="B2194" t="s">
        <v>261</v>
      </c>
      <c r="C2194" s="22">
        <v>46202</v>
      </c>
      <c r="D2194" s="23">
        <v>9949</v>
      </c>
    </row>
    <row r="2195" spans="1:4">
      <c r="A2195" t="s">
        <v>29</v>
      </c>
      <c r="B2195" t="s">
        <v>79</v>
      </c>
      <c r="C2195" s="22">
        <v>46202</v>
      </c>
      <c r="D2195" s="23">
        <v>16383</v>
      </c>
    </row>
    <row r="2196" spans="1:4">
      <c r="A2196" t="s">
        <v>22</v>
      </c>
      <c r="B2196" t="s">
        <v>167</v>
      </c>
      <c r="C2196" s="22">
        <v>46202</v>
      </c>
      <c r="D2196" s="23">
        <v>23235</v>
      </c>
    </row>
    <row r="2197" spans="1:4">
      <c r="A2197" t="s">
        <v>22</v>
      </c>
      <c r="B2197" t="s">
        <v>231</v>
      </c>
      <c r="C2197" s="22">
        <v>46202</v>
      </c>
      <c r="D2197" s="23">
        <v>24744</v>
      </c>
    </row>
    <row r="2198" spans="1:4">
      <c r="A2198" t="s">
        <v>20</v>
      </c>
      <c r="B2198" t="s">
        <v>268</v>
      </c>
      <c r="C2198" s="22">
        <v>46202</v>
      </c>
      <c r="D2198" s="23">
        <v>18085</v>
      </c>
    </row>
    <row r="2199" spans="1:4">
      <c r="A2199" t="s">
        <v>20</v>
      </c>
      <c r="B2199" t="s">
        <v>102</v>
      </c>
      <c r="C2199" s="22">
        <v>46202</v>
      </c>
      <c r="D2199" s="23">
        <v>39414</v>
      </c>
    </row>
    <row r="2200" spans="1:4">
      <c r="A2200" t="s">
        <v>20</v>
      </c>
      <c r="B2200" t="s">
        <v>91</v>
      </c>
      <c r="C2200" s="22">
        <v>46202</v>
      </c>
      <c r="D2200" s="23">
        <v>33022</v>
      </c>
    </row>
    <row r="2201" spans="1:4">
      <c r="A2201" t="s">
        <v>18</v>
      </c>
      <c r="B2201" t="s">
        <v>200</v>
      </c>
      <c r="C2201" s="22">
        <v>46202</v>
      </c>
      <c r="D2201" s="23">
        <v>47333</v>
      </c>
    </row>
    <row r="2202" spans="1:4">
      <c r="A2202" t="s">
        <v>18</v>
      </c>
      <c r="B2202" t="s">
        <v>94</v>
      </c>
      <c r="C2202" s="22">
        <v>46202</v>
      </c>
      <c r="D2202" s="23">
        <v>52409</v>
      </c>
    </row>
    <row r="2203" spans="1:4">
      <c r="A2203" t="s">
        <v>18</v>
      </c>
      <c r="B2203" t="s">
        <v>107</v>
      </c>
      <c r="C2203" s="22">
        <v>46202</v>
      </c>
      <c r="D2203" s="23">
        <v>43435</v>
      </c>
    </row>
    <row r="2204" spans="1:4">
      <c r="A2204" t="s">
        <v>21</v>
      </c>
      <c r="B2204" t="s">
        <v>115</v>
      </c>
      <c r="C2204" s="22">
        <v>46203</v>
      </c>
      <c r="D2204" s="23">
        <v>36108</v>
      </c>
    </row>
    <row r="2205" spans="1:4">
      <c r="A2205" t="s">
        <v>21</v>
      </c>
      <c r="B2205" t="s">
        <v>131</v>
      </c>
      <c r="C2205" s="22">
        <v>46203</v>
      </c>
      <c r="D2205" s="23">
        <v>17907</v>
      </c>
    </row>
    <row r="2206" spans="1:4">
      <c r="A2206" t="s">
        <v>33</v>
      </c>
      <c r="B2206" t="s">
        <v>236</v>
      </c>
      <c r="C2206" s="22">
        <v>46203</v>
      </c>
      <c r="D2206" s="23">
        <v>13747</v>
      </c>
    </row>
    <row r="2207" spans="1:4">
      <c r="A2207" t="s">
        <v>26</v>
      </c>
      <c r="B2207" t="s">
        <v>210</v>
      </c>
      <c r="C2207" s="22">
        <v>46203</v>
      </c>
      <c r="D2207" s="23">
        <v>18111</v>
      </c>
    </row>
    <row r="2208" spans="1:4">
      <c r="A2208" t="s">
        <v>25</v>
      </c>
      <c r="B2208" t="s">
        <v>267</v>
      </c>
      <c r="C2208" s="22">
        <v>46203</v>
      </c>
      <c r="D2208" s="23">
        <v>18891</v>
      </c>
    </row>
    <row r="2209" spans="1:4">
      <c r="A2209" t="s">
        <v>22</v>
      </c>
      <c r="B2209" t="s">
        <v>271</v>
      </c>
      <c r="C2209" s="22">
        <v>46203</v>
      </c>
      <c r="D2209" s="23">
        <v>28030</v>
      </c>
    </row>
    <row r="2210" spans="1:4">
      <c r="A2210" t="s">
        <v>22</v>
      </c>
      <c r="B2210" t="s">
        <v>143</v>
      </c>
      <c r="C2210" s="22">
        <v>46203</v>
      </c>
      <c r="D2210" s="23">
        <v>20130</v>
      </c>
    </row>
    <row r="2211" spans="1:4">
      <c r="A2211" t="s">
        <v>20</v>
      </c>
      <c r="B2211" t="s">
        <v>189</v>
      </c>
      <c r="C2211" s="22">
        <v>46203</v>
      </c>
      <c r="D2211" s="23">
        <v>23911</v>
      </c>
    </row>
    <row r="2212" spans="1:4">
      <c r="A2212" t="s">
        <v>20</v>
      </c>
      <c r="B2212" t="s">
        <v>229</v>
      </c>
      <c r="C2212" s="22">
        <v>46203</v>
      </c>
      <c r="D2212" s="23">
        <v>34110</v>
      </c>
    </row>
    <row r="2213" spans="1:4">
      <c r="A2213" t="s">
        <v>20</v>
      </c>
      <c r="B2213" t="s">
        <v>127</v>
      </c>
      <c r="C2213" s="22">
        <v>46203</v>
      </c>
      <c r="D2213" s="23">
        <v>30795</v>
      </c>
    </row>
    <row r="2214" spans="1:4">
      <c r="A2214" t="s">
        <v>18</v>
      </c>
      <c r="B2214" t="s">
        <v>92</v>
      </c>
      <c r="C2214" s="22">
        <v>46203</v>
      </c>
      <c r="D2214" s="23">
        <v>38394</v>
      </c>
    </row>
    <row r="2215" spans="1:4">
      <c r="A2215" t="s">
        <v>23</v>
      </c>
      <c r="B2215" t="s">
        <v>212</v>
      </c>
      <c r="C2215" s="22">
        <v>46204</v>
      </c>
      <c r="D2215" s="23">
        <v>33138</v>
      </c>
    </row>
    <row r="2216" spans="1:4">
      <c r="A2216" t="s">
        <v>23</v>
      </c>
      <c r="B2216" t="s">
        <v>195</v>
      </c>
      <c r="C2216" s="22">
        <v>46204</v>
      </c>
      <c r="D2216" s="23">
        <v>5462</v>
      </c>
    </row>
    <row r="2217" spans="1:4">
      <c r="A2217" t="s">
        <v>22</v>
      </c>
      <c r="B2217" t="s">
        <v>248</v>
      </c>
      <c r="C2217" s="22">
        <v>46204</v>
      </c>
      <c r="D2217" s="23">
        <v>34200</v>
      </c>
    </row>
    <row r="2218" spans="1:4">
      <c r="A2218" t="s">
        <v>22</v>
      </c>
      <c r="B2218" t="s">
        <v>87</v>
      </c>
      <c r="C2218" s="22">
        <v>46204</v>
      </c>
      <c r="D2218" s="23">
        <v>41836</v>
      </c>
    </row>
    <row r="2219" spans="1:4">
      <c r="A2219" t="s">
        <v>22</v>
      </c>
      <c r="B2219" t="s">
        <v>134</v>
      </c>
      <c r="C2219" s="22">
        <v>46204</v>
      </c>
      <c r="D2219" s="23">
        <v>24890</v>
      </c>
    </row>
    <row r="2220" spans="1:4">
      <c r="A2220" t="s">
        <v>20</v>
      </c>
      <c r="B2220" t="s">
        <v>206</v>
      </c>
      <c r="C2220" s="22">
        <v>46204</v>
      </c>
      <c r="D2220" s="23">
        <v>32376</v>
      </c>
    </row>
    <row r="2221" spans="1:4">
      <c r="A2221" t="s">
        <v>20</v>
      </c>
      <c r="B2221" t="s">
        <v>249</v>
      </c>
      <c r="C2221" s="22">
        <v>46204</v>
      </c>
      <c r="D2221" s="23">
        <v>30496</v>
      </c>
    </row>
    <row r="2222" spans="1:4">
      <c r="A2222" t="s">
        <v>18</v>
      </c>
      <c r="B2222" t="s">
        <v>55</v>
      </c>
      <c r="C2222" s="22">
        <v>46204</v>
      </c>
      <c r="D2222" s="23">
        <v>44872</v>
      </c>
    </row>
    <row r="2223" spans="1:4">
      <c r="A2223" t="s">
        <v>18</v>
      </c>
      <c r="B2223" t="s">
        <v>190</v>
      </c>
      <c r="C2223" s="22">
        <v>46204</v>
      </c>
      <c r="D2223" s="23">
        <v>40001</v>
      </c>
    </row>
    <row r="2224" spans="1:4">
      <c r="A2224" t="s">
        <v>18</v>
      </c>
      <c r="B2224" t="s">
        <v>128</v>
      </c>
      <c r="C2224" s="22">
        <v>46204</v>
      </c>
      <c r="D2224" s="23">
        <v>52464</v>
      </c>
    </row>
    <row r="2225" spans="1:4">
      <c r="A2225" t="s">
        <v>21</v>
      </c>
      <c r="B2225" t="s">
        <v>130</v>
      </c>
      <c r="C2225" s="22">
        <v>46205</v>
      </c>
      <c r="D2225" s="23">
        <v>32348</v>
      </c>
    </row>
    <row r="2226" spans="1:4">
      <c r="A2226" t="s">
        <v>27</v>
      </c>
      <c r="B2226" t="s">
        <v>266</v>
      </c>
      <c r="C2226" s="22">
        <v>46205</v>
      </c>
      <c r="D2226" s="23">
        <v>26467</v>
      </c>
    </row>
    <row r="2227" spans="1:4">
      <c r="A2227" t="s">
        <v>22</v>
      </c>
      <c r="B2227" t="s">
        <v>183</v>
      </c>
      <c r="C2227" s="22">
        <v>46205</v>
      </c>
      <c r="D2227" s="23">
        <v>21812</v>
      </c>
    </row>
    <row r="2228" spans="1:4">
      <c r="A2228" t="s">
        <v>18</v>
      </c>
      <c r="B2228" t="s">
        <v>64</v>
      </c>
      <c r="C2228" s="22">
        <v>46205</v>
      </c>
      <c r="D2228" s="23">
        <v>53488</v>
      </c>
    </row>
    <row r="2229" spans="1:4">
      <c r="A2229" t="s">
        <v>18</v>
      </c>
      <c r="B2229" t="s">
        <v>172</v>
      </c>
      <c r="C2229" s="22">
        <v>46205</v>
      </c>
      <c r="D2229" s="23">
        <v>37810</v>
      </c>
    </row>
    <row r="2230" spans="1:4">
      <c r="A2230" t="s">
        <v>18</v>
      </c>
      <c r="B2230" t="s">
        <v>53</v>
      </c>
      <c r="C2230" s="22">
        <v>46205</v>
      </c>
      <c r="D2230" s="23">
        <v>34037</v>
      </c>
    </row>
    <row r="2231" spans="1:4">
      <c r="A2231" t="s">
        <v>28</v>
      </c>
      <c r="B2231" t="s">
        <v>198</v>
      </c>
      <c r="C2231" s="22">
        <v>46206</v>
      </c>
      <c r="D2231" s="23">
        <v>6485</v>
      </c>
    </row>
    <row r="2232" spans="1:4">
      <c r="A2232" t="s">
        <v>21</v>
      </c>
      <c r="B2232" t="s">
        <v>209</v>
      </c>
      <c r="C2232" s="22">
        <v>46206</v>
      </c>
      <c r="D2232" s="23">
        <v>22931</v>
      </c>
    </row>
    <row r="2233" spans="1:4">
      <c r="A2233" t="s">
        <v>21</v>
      </c>
      <c r="B2233" t="s">
        <v>70</v>
      </c>
      <c r="C2233" s="22">
        <v>46206</v>
      </c>
      <c r="D2233" s="23">
        <v>40185</v>
      </c>
    </row>
    <row r="2234" spans="1:4">
      <c r="A2234" t="s">
        <v>21</v>
      </c>
      <c r="B2234" t="s">
        <v>164</v>
      </c>
      <c r="C2234" s="22">
        <v>46206</v>
      </c>
      <c r="D2234" s="23">
        <v>38259</v>
      </c>
    </row>
    <row r="2235" spans="1:4">
      <c r="A2235" t="s">
        <v>20</v>
      </c>
      <c r="B2235" t="s">
        <v>206</v>
      </c>
      <c r="C2235" s="22">
        <v>46206</v>
      </c>
      <c r="D2235" s="23">
        <v>42376</v>
      </c>
    </row>
    <row r="2236" spans="1:4">
      <c r="A2236" t="s">
        <v>20</v>
      </c>
      <c r="B2236" t="s">
        <v>136</v>
      </c>
      <c r="C2236" s="22">
        <v>46206</v>
      </c>
      <c r="D2236" s="23">
        <v>23583</v>
      </c>
    </row>
    <row r="2237" spans="1:4">
      <c r="A2237" t="s">
        <v>20</v>
      </c>
      <c r="B2237" t="s">
        <v>272</v>
      </c>
      <c r="C2237" s="22">
        <v>46206</v>
      </c>
      <c r="D2237" s="23">
        <v>13441</v>
      </c>
    </row>
    <row r="2238" spans="1:4">
      <c r="A2238" t="s">
        <v>20</v>
      </c>
      <c r="B2238" t="s">
        <v>90</v>
      </c>
      <c r="C2238" s="22">
        <v>46206</v>
      </c>
      <c r="D2238" s="23">
        <v>14571</v>
      </c>
    </row>
    <row r="2239" spans="1:4">
      <c r="A2239" t="s">
        <v>20</v>
      </c>
      <c r="B2239" t="s">
        <v>145</v>
      </c>
      <c r="C2239" s="22">
        <v>46206</v>
      </c>
      <c r="D2239" s="23">
        <v>39298</v>
      </c>
    </row>
    <row r="2240" spans="1:4">
      <c r="A2240" t="s">
        <v>20</v>
      </c>
      <c r="B2240" t="s">
        <v>199</v>
      </c>
      <c r="C2240" s="22">
        <v>46206</v>
      </c>
      <c r="D2240" s="23">
        <v>46712</v>
      </c>
    </row>
    <row r="2241" spans="1:4">
      <c r="A2241" t="s">
        <v>20</v>
      </c>
      <c r="B2241" t="s">
        <v>83</v>
      </c>
      <c r="C2241" s="22">
        <v>46206</v>
      </c>
      <c r="D2241" s="23">
        <v>33550</v>
      </c>
    </row>
    <row r="2242" spans="1:4">
      <c r="A2242" t="s">
        <v>20</v>
      </c>
      <c r="B2242" t="s">
        <v>91</v>
      </c>
      <c r="C2242" s="22">
        <v>46206</v>
      </c>
      <c r="D2242" s="23">
        <v>29025</v>
      </c>
    </row>
    <row r="2243" spans="1:4">
      <c r="A2243" t="s">
        <v>18</v>
      </c>
      <c r="B2243" t="s">
        <v>106</v>
      </c>
      <c r="C2243" s="22">
        <v>46206</v>
      </c>
      <c r="D2243" s="23">
        <v>43879</v>
      </c>
    </row>
    <row r="2244" spans="1:4">
      <c r="A2244" t="s">
        <v>18</v>
      </c>
      <c r="B2244" t="s">
        <v>200</v>
      </c>
      <c r="C2244" s="22">
        <v>46206</v>
      </c>
      <c r="D2244" s="23">
        <v>19552</v>
      </c>
    </row>
    <row r="2245" spans="1:4">
      <c r="A2245" t="s">
        <v>18</v>
      </c>
      <c r="B2245" t="s">
        <v>96</v>
      </c>
      <c r="C2245" s="22">
        <v>46206</v>
      </c>
      <c r="D2245" s="23">
        <v>36482</v>
      </c>
    </row>
    <row r="2246" spans="1:4">
      <c r="A2246" t="s">
        <v>18</v>
      </c>
      <c r="B2246" t="s">
        <v>208</v>
      </c>
      <c r="C2246" s="22">
        <v>46206</v>
      </c>
      <c r="D2246" s="23">
        <v>43765</v>
      </c>
    </row>
    <row r="2247" spans="1:4">
      <c r="A2247" t="s">
        <v>18</v>
      </c>
      <c r="B2247" t="s">
        <v>108</v>
      </c>
      <c r="C2247" s="22">
        <v>46206</v>
      </c>
      <c r="D2247" s="23">
        <v>28361</v>
      </c>
    </row>
    <row r="2248" spans="1:4">
      <c r="A2248" t="s">
        <v>37</v>
      </c>
      <c r="B2248" t="s">
        <v>269</v>
      </c>
      <c r="C2248" s="22">
        <v>46207</v>
      </c>
      <c r="D2248" s="23">
        <v>10259</v>
      </c>
    </row>
    <row r="2249" spans="1:4">
      <c r="A2249" t="s">
        <v>21</v>
      </c>
      <c r="B2249" t="s">
        <v>163</v>
      </c>
      <c r="C2249" s="22">
        <v>46207</v>
      </c>
      <c r="D2249" s="23">
        <v>37708</v>
      </c>
    </row>
    <row r="2250" spans="1:4">
      <c r="A2250" t="s">
        <v>21</v>
      </c>
      <c r="B2250" t="s">
        <v>173</v>
      </c>
      <c r="C2250" s="22">
        <v>46207</v>
      </c>
      <c r="D2250" s="23">
        <v>25495</v>
      </c>
    </row>
    <row r="2251" spans="1:4">
      <c r="A2251" t="s">
        <v>23</v>
      </c>
      <c r="B2251" t="s">
        <v>232</v>
      </c>
      <c r="C2251" s="22">
        <v>46207</v>
      </c>
      <c r="D2251" s="23">
        <v>35153</v>
      </c>
    </row>
    <row r="2252" spans="1:4">
      <c r="A2252" t="s">
        <v>23</v>
      </c>
      <c r="B2252" t="s">
        <v>204</v>
      </c>
      <c r="C2252" s="22">
        <v>46207</v>
      </c>
      <c r="D2252" s="23">
        <v>14585</v>
      </c>
    </row>
    <row r="2253" spans="1:4">
      <c r="A2253" t="s">
        <v>29</v>
      </c>
      <c r="B2253" t="s">
        <v>222</v>
      </c>
      <c r="C2253" s="22">
        <v>46207</v>
      </c>
      <c r="D2253" s="23">
        <v>11217</v>
      </c>
    </row>
    <row r="2254" spans="1:4">
      <c r="A2254" t="s">
        <v>22</v>
      </c>
      <c r="B2254" t="s">
        <v>231</v>
      </c>
      <c r="C2254" s="22">
        <v>46207</v>
      </c>
      <c r="D2254" s="23">
        <v>26155</v>
      </c>
    </row>
    <row r="2255" spans="1:4">
      <c r="A2255" t="s">
        <v>20</v>
      </c>
      <c r="B2255" t="s">
        <v>215</v>
      </c>
      <c r="C2255" s="22">
        <v>46207</v>
      </c>
      <c r="D2255" s="23">
        <v>27851</v>
      </c>
    </row>
    <row r="2256" spans="1:4">
      <c r="A2256" t="s">
        <v>18</v>
      </c>
      <c r="B2256" t="s">
        <v>57</v>
      </c>
      <c r="C2256" s="22">
        <v>46207</v>
      </c>
      <c r="D2256" s="23">
        <v>38190</v>
      </c>
    </row>
    <row r="2257" spans="1:4">
      <c r="A2257" t="s">
        <v>18</v>
      </c>
      <c r="B2257" t="s">
        <v>172</v>
      </c>
      <c r="C2257" s="22">
        <v>46207</v>
      </c>
      <c r="D2257" s="23">
        <v>40396</v>
      </c>
    </row>
    <row r="2258" spans="1:4">
      <c r="A2258" t="s">
        <v>18</v>
      </c>
      <c r="B2258" t="s">
        <v>53</v>
      </c>
      <c r="C2258" s="22">
        <v>46207</v>
      </c>
      <c r="D2258" s="23">
        <v>34284</v>
      </c>
    </row>
    <row r="2259" spans="1:4">
      <c r="A2259" t="s">
        <v>18</v>
      </c>
      <c r="B2259" t="s">
        <v>159</v>
      </c>
      <c r="C2259" s="22">
        <v>46207</v>
      </c>
      <c r="D2259" s="23">
        <v>40181</v>
      </c>
    </row>
    <row r="2260" spans="1:4">
      <c r="A2260" t="s">
        <v>18</v>
      </c>
      <c r="B2260" t="s">
        <v>138</v>
      </c>
      <c r="C2260" s="22">
        <v>46207</v>
      </c>
      <c r="D2260" s="23">
        <v>52213</v>
      </c>
    </row>
    <row r="2261" spans="1:4">
      <c r="A2261" t="s">
        <v>18</v>
      </c>
      <c r="B2261" t="s">
        <v>138</v>
      </c>
      <c r="C2261" s="22">
        <v>46207</v>
      </c>
      <c r="D2261" s="23">
        <v>47679</v>
      </c>
    </row>
    <row r="2262" spans="1:4">
      <c r="A2262" t="s">
        <v>33</v>
      </c>
      <c r="B2262" t="s">
        <v>241</v>
      </c>
      <c r="C2262" s="22">
        <v>46208</v>
      </c>
      <c r="D2262" s="23">
        <v>14859</v>
      </c>
    </row>
    <row r="2263" spans="1:4">
      <c r="A2263" t="s">
        <v>26</v>
      </c>
      <c r="B2263" t="s">
        <v>270</v>
      </c>
      <c r="C2263" s="22">
        <v>46208</v>
      </c>
      <c r="D2263" s="23">
        <v>6919</v>
      </c>
    </row>
    <row r="2264" spans="1:4">
      <c r="A2264" t="s">
        <v>32</v>
      </c>
      <c r="B2264" t="s">
        <v>156</v>
      </c>
      <c r="C2264" s="22">
        <v>46208</v>
      </c>
      <c r="D2264" s="23">
        <v>14712</v>
      </c>
    </row>
    <row r="2265" spans="1:4">
      <c r="A2265" t="s">
        <v>35</v>
      </c>
      <c r="B2265" t="s">
        <v>122</v>
      </c>
      <c r="C2265" s="22">
        <v>46208</v>
      </c>
      <c r="D2265" s="23">
        <v>13811</v>
      </c>
    </row>
    <row r="2266" spans="1:4">
      <c r="A2266" t="s">
        <v>29</v>
      </c>
      <c r="B2266" t="s">
        <v>160</v>
      </c>
      <c r="C2266" s="22">
        <v>46208</v>
      </c>
      <c r="D2266" s="23">
        <v>19481</v>
      </c>
    </row>
    <row r="2267" spans="1:4">
      <c r="A2267" t="s">
        <v>20</v>
      </c>
      <c r="B2267" t="s">
        <v>161</v>
      </c>
      <c r="C2267" s="22">
        <v>46208</v>
      </c>
      <c r="D2267" s="23">
        <v>27687</v>
      </c>
    </row>
    <row r="2268" spans="1:4">
      <c r="A2268" t="s">
        <v>18</v>
      </c>
      <c r="B2268" t="s">
        <v>55</v>
      </c>
      <c r="C2268" s="22">
        <v>46208</v>
      </c>
      <c r="D2268" s="23">
        <v>42116</v>
      </c>
    </row>
    <row r="2269" spans="1:4">
      <c r="A2269" t="s">
        <v>18</v>
      </c>
      <c r="B2269" t="s">
        <v>55</v>
      </c>
      <c r="C2269" s="22">
        <v>46208</v>
      </c>
      <c r="D2269" s="23">
        <v>39528</v>
      </c>
    </row>
    <row r="2270" spans="1:4">
      <c r="A2270" t="s">
        <v>18</v>
      </c>
      <c r="B2270" t="s">
        <v>93</v>
      </c>
      <c r="C2270" s="22">
        <v>46208</v>
      </c>
      <c r="D2270" s="23">
        <v>38180</v>
      </c>
    </row>
    <row r="2271" spans="1:4">
      <c r="A2271" t="s">
        <v>18</v>
      </c>
      <c r="B2271" t="s">
        <v>85</v>
      </c>
      <c r="C2271" s="22">
        <v>46208</v>
      </c>
      <c r="D2271" s="23">
        <v>39977</v>
      </c>
    </row>
    <row r="2272" spans="1:4">
      <c r="A2272" t="s">
        <v>18</v>
      </c>
      <c r="B2272" t="s">
        <v>162</v>
      </c>
      <c r="C2272" s="22">
        <v>46208</v>
      </c>
      <c r="D2272" s="23">
        <v>34166</v>
      </c>
    </row>
    <row r="2273" spans="1:4">
      <c r="A2273" t="s">
        <v>18</v>
      </c>
      <c r="B2273" t="s">
        <v>57</v>
      </c>
      <c r="C2273" s="22">
        <v>46208</v>
      </c>
      <c r="D2273" s="23">
        <v>40631</v>
      </c>
    </row>
    <row r="2274" spans="1:4">
      <c r="A2274" t="s">
        <v>18</v>
      </c>
      <c r="B2274" t="s">
        <v>139</v>
      </c>
      <c r="C2274" s="22">
        <v>46208</v>
      </c>
      <c r="D2274" s="23">
        <v>34919</v>
      </c>
    </row>
    <row r="2275" spans="1:4">
      <c r="A2275" t="s">
        <v>21</v>
      </c>
      <c r="B2275" t="s">
        <v>251</v>
      </c>
      <c r="C2275" s="22">
        <v>46209</v>
      </c>
      <c r="D2275" s="23">
        <v>38817</v>
      </c>
    </row>
    <row r="2276" spans="1:4">
      <c r="A2276" t="s">
        <v>21</v>
      </c>
      <c r="B2276" t="s">
        <v>146</v>
      </c>
      <c r="C2276" s="22">
        <v>46209</v>
      </c>
      <c r="D2276" s="23">
        <v>25338</v>
      </c>
    </row>
    <row r="2277" spans="1:4">
      <c r="A2277" t="s">
        <v>32</v>
      </c>
      <c r="B2277" t="s">
        <v>257</v>
      </c>
      <c r="C2277" s="22">
        <v>46209</v>
      </c>
      <c r="D2277" s="23">
        <v>5200</v>
      </c>
    </row>
    <row r="2278" spans="1:4">
      <c r="A2278" t="s">
        <v>25</v>
      </c>
      <c r="B2278" t="s">
        <v>211</v>
      </c>
      <c r="C2278" s="22">
        <v>46209</v>
      </c>
      <c r="D2278" s="23">
        <v>15190</v>
      </c>
    </row>
    <row r="2279" spans="1:4">
      <c r="A2279" t="s">
        <v>23</v>
      </c>
      <c r="B2279" t="s">
        <v>114</v>
      </c>
      <c r="C2279" s="22">
        <v>46209</v>
      </c>
      <c r="D2279" s="23">
        <v>21484</v>
      </c>
    </row>
    <row r="2280" spans="1:4">
      <c r="A2280" t="s">
        <v>29</v>
      </c>
      <c r="B2280" t="s">
        <v>283</v>
      </c>
      <c r="C2280" s="22">
        <v>46209</v>
      </c>
      <c r="D2280" s="23">
        <v>14621</v>
      </c>
    </row>
    <row r="2281" spans="1:4">
      <c r="A2281" t="s">
        <v>22</v>
      </c>
      <c r="B2281" t="s">
        <v>153</v>
      </c>
      <c r="C2281" s="22">
        <v>46209</v>
      </c>
      <c r="D2281" s="23">
        <v>24820</v>
      </c>
    </row>
    <row r="2282" spans="1:4">
      <c r="A2282" t="s">
        <v>20</v>
      </c>
      <c r="B2282" t="s">
        <v>189</v>
      </c>
      <c r="C2282" s="22">
        <v>46209</v>
      </c>
      <c r="D2282" s="23">
        <v>24110</v>
      </c>
    </row>
    <row r="2283" spans="1:4">
      <c r="A2283" t="s">
        <v>20</v>
      </c>
      <c r="B2283" t="s">
        <v>91</v>
      </c>
      <c r="C2283" s="22">
        <v>46209</v>
      </c>
      <c r="D2283" s="23">
        <v>34206</v>
      </c>
    </row>
    <row r="2284" spans="1:4">
      <c r="A2284" t="s">
        <v>18</v>
      </c>
      <c r="B2284" t="s">
        <v>53</v>
      </c>
      <c r="C2284" s="22">
        <v>46209</v>
      </c>
      <c r="D2284" s="23">
        <v>32841</v>
      </c>
    </row>
    <row r="2285" spans="1:4">
      <c r="A2285" t="s">
        <v>28</v>
      </c>
      <c r="B2285" t="s">
        <v>225</v>
      </c>
      <c r="C2285" s="22">
        <v>46210</v>
      </c>
      <c r="D2285" s="23">
        <v>15349</v>
      </c>
    </row>
    <row r="2286" spans="1:4">
      <c r="A2286" t="s">
        <v>21</v>
      </c>
      <c r="B2286" t="s">
        <v>75</v>
      </c>
      <c r="C2286" s="22">
        <v>46210</v>
      </c>
      <c r="D2286" s="23">
        <v>33466</v>
      </c>
    </row>
    <row r="2287" spans="1:4">
      <c r="A2287" t="s">
        <v>27</v>
      </c>
      <c r="B2287" t="s">
        <v>247</v>
      </c>
      <c r="C2287" s="22">
        <v>46210</v>
      </c>
      <c r="D2287" s="23">
        <v>14289</v>
      </c>
    </row>
    <row r="2288" spans="1:4">
      <c r="A2288" t="s">
        <v>20</v>
      </c>
      <c r="B2288" t="s">
        <v>229</v>
      </c>
      <c r="C2288" s="22">
        <v>46210</v>
      </c>
      <c r="D2288" s="23">
        <v>27272</v>
      </c>
    </row>
    <row r="2289" spans="1:4">
      <c r="A2289" t="s">
        <v>20</v>
      </c>
      <c r="B2289" t="s">
        <v>229</v>
      </c>
      <c r="C2289" s="22">
        <v>46210</v>
      </c>
      <c r="D2289" s="23">
        <v>32932</v>
      </c>
    </row>
    <row r="2290" spans="1:4">
      <c r="A2290" t="s">
        <v>20</v>
      </c>
      <c r="B2290" t="s">
        <v>161</v>
      </c>
      <c r="C2290" s="22">
        <v>46210</v>
      </c>
      <c r="D2290" s="23">
        <v>29266</v>
      </c>
    </row>
    <row r="2291" spans="1:4">
      <c r="A2291" t="s">
        <v>18</v>
      </c>
      <c r="B2291" t="s">
        <v>129</v>
      </c>
      <c r="C2291" s="22">
        <v>46210</v>
      </c>
      <c r="D2291" s="23">
        <v>37161</v>
      </c>
    </row>
    <row r="2292" spans="1:4">
      <c r="A2292" t="s">
        <v>18</v>
      </c>
      <c r="B2292" t="s">
        <v>86</v>
      </c>
      <c r="C2292" s="22">
        <v>46210</v>
      </c>
      <c r="D2292" s="23">
        <v>39931</v>
      </c>
    </row>
    <row r="2293" spans="1:4">
      <c r="A2293" t="s">
        <v>21</v>
      </c>
      <c r="B2293" t="s">
        <v>254</v>
      </c>
      <c r="C2293" s="22">
        <v>46211</v>
      </c>
      <c r="D2293" s="23">
        <v>38795</v>
      </c>
    </row>
    <row r="2294" spans="1:4">
      <c r="A2294" t="s">
        <v>21</v>
      </c>
      <c r="B2294" t="s">
        <v>237</v>
      </c>
      <c r="C2294" s="22">
        <v>46211</v>
      </c>
      <c r="D2294" s="23">
        <v>28457</v>
      </c>
    </row>
    <row r="2295" spans="1:4">
      <c r="A2295" t="s">
        <v>31</v>
      </c>
      <c r="B2295" t="s">
        <v>176</v>
      </c>
      <c r="C2295" s="22">
        <v>46211</v>
      </c>
      <c r="D2295" s="23">
        <v>13421</v>
      </c>
    </row>
    <row r="2296" spans="1:4">
      <c r="A2296" t="s">
        <v>32</v>
      </c>
      <c r="B2296" t="s">
        <v>50</v>
      </c>
      <c r="C2296" s="22">
        <v>46211</v>
      </c>
      <c r="D2296" s="23">
        <v>5200</v>
      </c>
    </row>
    <row r="2297" spans="1:4">
      <c r="A2297" t="s">
        <v>36</v>
      </c>
      <c r="B2297" t="s">
        <v>101</v>
      </c>
      <c r="C2297" s="22">
        <v>46211</v>
      </c>
      <c r="D2297" s="23">
        <v>7493</v>
      </c>
    </row>
    <row r="2298" spans="1:4">
      <c r="A2298" t="s">
        <v>22</v>
      </c>
      <c r="B2298" t="s">
        <v>52</v>
      </c>
      <c r="C2298" s="22">
        <v>46211</v>
      </c>
      <c r="D2298" s="23">
        <v>10560</v>
      </c>
    </row>
    <row r="2299" spans="1:4">
      <c r="A2299" t="s">
        <v>20</v>
      </c>
      <c r="B2299" t="s">
        <v>215</v>
      </c>
      <c r="C2299" s="22">
        <v>46211</v>
      </c>
      <c r="D2299" s="23">
        <v>26786</v>
      </c>
    </row>
    <row r="2300" spans="1:4">
      <c r="A2300" t="s">
        <v>18</v>
      </c>
      <c r="B2300" t="s">
        <v>108</v>
      </c>
      <c r="C2300" s="22">
        <v>46211</v>
      </c>
      <c r="D2300" s="23">
        <v>28483</v>
      </c>
    </row>
    <row r="2301" spans="1:4">
      <c r="A2301" t="s">
        <v>21</v>
      </c>
      <c r="B2301" t="s">
        <v>259</v>
      </c>
      <c r="C2301" s="22">
        <v>46212</v>
      </c>
      <c r="D2301" s="23">
        <v>23477</v>
      </c>
    </row>
    <row r="2302" spans="1:4">
      <c r="A2302" t="s">
        <v>26</v>
      </c>
      <c r="B2302" t="s">
        <v>48</v>
      </c>
      <c r="C2302" s="22">
        <v>46212</v>
      </c>
      <c r="D2302" s="23">
        <v>20707</v>
      </c>
    </row>
    <row r="2303" spans="1:4">
      <c r="A2303" t="s">
        <v>27</v>
      </c>
      <c r="B2303" t="s">
        <v>243</v>
      </c>
      <c r="C2303" s="22">
        <v>46212</v>
      </c>
      <c r="D2303" s="23">
        <v>9562</v>
      </c>
    </row>
    <row r="2304" spans="1:4">
      <c r="A2304" t="s">
        <v>25</v>
      </c>
      <c r="B2304" t="s">
        <v>244</v>
      </c>
      <c r="C2304" s="22">
        <v>46212</v>
      </c>
      <c r="D2304" s="23">
        <v>28720</v>
      </c>
    </row>
    <row r="2305" spans="1:4">
      <c r="A2305" t="s">
        <v>23</v>
      </c>
      <c r="B2305" t="s">
        <v>275</v>
      </c>
      <c r="C2305" s="22">
        <v>46212</v>
      </c>
      <c r="D2305" s="23">
        <v>21827</v>
      </c>
    </row>
    <row r="2306" spans="1:4">
      <c r="A2306" t="s">
        <v>18</v>
      </c>
      <c r="B2306" t="s">
        <v>106</v>
      </c>
      <c r="C2306" s="22">
        <v>46212</v>
      </c>
      <c r="D2306" s="23">
        <v>40829</v>
      </c>
    </row>
    <row r="2307" spans="1:4">
      <c r="A2307" t="s">
        <v>18</v>
      </c>
      <c r="B2307" t="s">
        <v>159</v>
      </c>
      <c r="C2307" s="22">
        <v>46212</v>
      </c>
      <c r="D2307" s="23">
        <v>38885</v>
      </c>
    </row>
    <row r="2308" spans="1:4">
      <c r="A2308" t="s">
        <v>18</v>
      </c>
      <c r="B2308" t="s">
        <v>224</v>
      </c>
      <c r="C2308" s="22">
        <v>46212</v>
      </c>
      <c r="D2308" s="23">
        <v>48551</v>
      </c>
    </row>
    <row r="2309" spans="1:4">
      <c r="A2309" t="s">
        <v>18</v>
      </c>
      <c r="B2309" t="s">
        <v>97</v>
      </c>
      <c r="C2309" s="22">
        <v>46212</v>
      </c>
      <c r="D2309" s="23">
        <v>55230</v>
      </c>
    </row>
    <row r="2310" spans="1:4">
      <c r="A2310" t="s">
        <v>21</v>
      </c>
      <c r="B2310" t="s">
        <v>87</v>
      </c>
      <c r="C2310" s="22">
        <v>46213</v>
      </c>
      <c r="D2310" s="23">
        <v>41559</v>
      </c>
    </row>
    <row r="2311" spans="1:4">
      <c r="A2311" t="s">
        <v>21</v>
      </c>
      <c r="B2311" t="s">
        <v>140</v>
      </c>
      <c r="C2311" s="22">
        <v>46213</v>
      </c>
      <c r="D2311" s="23">
        <v>36812</v>
      </c>
    </row>
    <row r="2312" spans="1:4">
      <c r="A2312" t="s">
        <v>31</v>
      </c>
      <c r="B2312" t="s">
        <v>111</v>
      </c>
      <c r="C2312" s="22">
        <v>46213</v>
      </c>
      <c r="D2312" s="23">
        <v>13419</v>
      </c>
    </row>
    <row r="2313" spans="1:4">
      <c r="A2313" t="s">
        <v>40</v>
      </c>
      <c r="B2313" t="s">
        <v>88</v>
      </c>
      <c r="C2313" s="22">
        <v>46213</v>
      </c>
      <c r="D2313" s="23">
        <v>21240</v>
      </c>
    </row>
    <row r="2314" spans="1:4">
      <c r="A2314" t="s">
        <v>25</v>
      </c>
      <c r="B2314" t="s">
        <v>274</v>
      </c>
      <c r="C2314" s="22">
        <v>46213</v>
      </c>
      <c r="D2314" s="23">
        <v>18284</v>
      </c>
    </row>
    <row r="2315" spans="1:4">
      <c r="A2315" t="s">
        <v>20</v>
      </c>
      <c r="B2315" t="s">
        <v>197</v>
      </c>
      <c r="C2315" s="22">
        <v>46213</v>
      </c>
      <c r="D2315" s="23">
        <v>46987</v>
      </c>
    </row>
    <row r="2316" spans="1:4">
      <c r="A2316" t="s">
        <v>20</v>
      </c>
      <c r="B2316" t="s">
        <v>127</v>
      </c>
      <c r="C2316" s="22">
        <v>46213</v>
      </c>
      <c r="D2316" s="23">
        <v>32381</v>
      </c>
    </row>
    <row r="2317" spans="1:4">
      <c r="A2317" t="s">
        <v>20</v>
      </c>
      <c r="B2317" t="s">
        <v>265</v>
      </c>
      <c r="C2317" s="22">
        <v>46213</v>
      </c>
      <c r="D2317" s="23">
        <v>20541</v>
      </c>
    </row>
    <row r="2318" spans="1:4">
      <c r="A2318" t="s">
        <v>18</v>
      </c>
      <c r="B2318" t="s">
        <v>68</v>
      </c>
      <c r="C2318" s="22">
        <v>46213</v>
      </c>
      <c r="D2318" s="23">
        <v>33236</v>
      </c>
    </row>
    <row r="2319" spans="1:4">
      <c r="A2319" t="s">
        <v>18</v>
      </c>
      <c r="B2319" t="s">
        <v>58</v>
      </c>
      <c r="C2319" s="22">
        <v>46213</v>
      </c>
      <c r="D2319" s="23">
        <v>40829</v>
      </c>
    </row>
    <row r="2320" spans="1:4">
      <c r="A2320" t="s">
        <v>18</v>
      </c>
      <c r="B2320" t="s">
        <v>224</v>
      </c>
      <c r="C2320" s="22">
        <v>46213</v>
      </c>
      <c r="D2320" s="23">
        <v>46570</v>
      </c>
    </row>
    <row r="2321" spans="1:4">
      <c r="A2321" t="s">
        <v>21</v>
      </c>
      <c r="B2321" t="s">
        <v>146</v>
      </c>
      <c r="C2321" s="22">
        <v>46214</v>
      </c>
      <c r="D2321" s="23">
        <v>25783</v>
      </c>
    </row>
    <row r="2322" spans="1:4">
      <c r="A2322" t="s">
        <v>21</v>
      </c>
      <c r="B2322" t="s">
        <v>146</v>
      </c>
      <c r="C2322" s="22">
        <v>46214</v>
      </c>
      <c r="D2322" s="23">
        <v>26608</v>
      </c>
    </row>
    <row r="2323" spans="1:4">
      <c r="A2323" t="s">
        <v>21</v>
      </c>
      <c r="B2323" t="s">
        <v>131</v>
      </c>
      <c r="C2323" s="22">
        <v>46214</v>
      </c>
      <c r="D2323" s="23">
        <v>26936</v>
      </c>
    </row>
    <row r="2324" spans="1:4">
      <c r="A2324" t="s">
        <v>26</v>
      </c>
      <c r="B2324" t="s">
        <v>150</v>
      </c>
      <c r="C2324" s="22">
        <v>46214</v>
      </c>
      <c r="D2324" s="23">
        <v>15836</v>
      </c>
    </row>
    <row r="2325" spans="1:4">
      <c r="A2325" t="s">
        <v>26</v>
      </c>
      <c r="B2325" t="s">
        <v>203</v>
      </c>
      <c r="C2325" s="22">
        <v>46214</v>
      </c>
      <c r="D2325" s="23">
        <v>18443</v>
      </c>
    </row>
    <row r="2326" spans="1:4">
      <c r="A2326" t="s">
        <v>31</v>
      </c>
      <c r="B2326" t="s">
        <v>151</v>
      </c>
      <c r="C2326" s="22">
        <v>46214</v>
      </c>
      <c r="D2326" s="23">
        <v>16002</v>
      </c>
    </row>
    <row r="2327" spans="1:4">
      <c r="A2327" t="s">
        <v>27</v>
      </c>
      <c r="B2327" t="s">
        <v>194</v>
      </c>
      <c r="C2327" s="22">
        <v>46214</v>
      </c>
      <c r="D2327" s="23">
        <v>16141</v>
      </c>
    </row>
    <row r="2328" spans="1:4">
      <c r="A2328" t="s">
        <v>25</v>
      </c>
      <c r="B2328" t="s">
        <v>234</v>
      </c>
      <c r="C2328" s="22">
        <v>46214</v>
      </c>
      <c r="D2328" s="23">
        <v>29939</v>
      </c>
    </row>
    <row r="2329" spans="1:4">
      <c r="A2329" t="s">
        <v>23</v>
      </c>
      <c r="B2329" t="s">
        <v>280</v>
      </c>
      <c r="C2329" s="22">
        <v>46214</v>
      </c>
      <c r="D2329" s="23">
        <v>27567</v>
      </c>
    </row>
    <row r="2330" spans="1:4">
      <c r="A2330" t="s">
        <v>22</v>
      </c>
      <c r="B2330" t="s">
        <v>144</v>
      </c>
      <c r="C2330" s="22">
        <v>46214</v>
      </c>
      <c r="D2330" s="23">
        <v>35638</v>
      </c>
    </row>
    <row r="2331" spans="1:4">
      <c r="A2331" t="s">
        <v>22</v>
      </c>
      <c r="B2331" t="s">
        <v>133</v>
      </c>
      <c r="C2331" s="22">
        <v>46214</v>
      </c>
      <c r="D2331" s="23">
        <v>27284</v>
      </c>
    </row>
    <row r="2332" spans="1:4">
      <c r="A2332" t="s">
        <v>20</v>
      </c>
      <c r="B2332" t="s">
        <v>207</v>
      </c>
      <c r="C2332" s="22">
        <v>46214</v>
      </c>
      <c r="D2332" s="23">
        <v>36460</v>
      </c>
    </row>
    <row r="2333" spans="1:4">
      <c r="A2333" t="s">
        <v>20</v>
      </c>
      <c r="B2333" t="s">
        <v>239</v>
      </c>
      <c r="C2333" s="22">
        <v>46214</v>
      </c>
      <c r="D2333" s="23">
        <v>44327</v>
      </c>
    </row>
    <row r="2334" spans="1:4">
      <c r="A2334" t="s">
        <v>20</v>
      </c>
      <c r="B2334" t="s">
        <v>127</v>
      </c>
      <c r="C2334" s="22">
        <v>46214</v>
      </c>
      <c r="D2334" s="23">
        <v>40170</v>
      </c>
    </row>
    <row r="2335" spans="1:4">
      <c r="A2335" t="s">
        <v>18</v>
      </c>
      <c r="B2335" t="s">
        <v>69</v>
      </c>
      <c r="C2335" s="22">
        <v>46214</v>
      </c>
      <c r="D2335" s="23">
        <v>37514</v>
      </c>
    </row>
    <row r="2336" spans="1:4">
      <c r="A2336" t="s">
        <v>18</v>
      </c>
      <c r="B2336" t="s">
        <v>71</v>
      </c>
      <c r="C2336" s="22">
        <v>46214</v>
      </c>
      <c r="D2336" s="23">
        <v>32889</v>
      </c>
    </row>
    <row r="2337" spans="1:4">
      <c r="A2337" t="s">
        <v>18</v>
      </c>
      <c r="B2337" t="s">
        <v>165</v>
      </c>
      <c r="C2337" s="22">
        <v>46214</v>
      </c>
      <c r="D2337" s="23">
        <v>29886</v>
      </c>
    </row>
    <row r="2338" spans="1:4">
      <c r="A2338" t="s">
        <v>21</v>
      </c>
      <c r="B2338" t="s">
        <v>85</v>
      </c>
      <c r="C2338" s="22">
        <v>46215</v>
      </c>
      <c r="D2338" s="23">
        <v>42773</v>
      </c>
    </row>
    <row r="2339" spans="1:4">
      <c r="A2339" t="s">
        <v>21</v>
      </c>
      <c r="B2339" t="s">
        <v>129</v>
      </c>
      <c r="C2339" s="22">
        <v>46215</v>
      </c>
      <c r="D2339" s="23">
        <v>36899</v>
      </c>
    </row>
    <row r="2340" spans="1:4">
      <c r="A2340" t="s">
        <v>20</v>
      </c>
      <c r="B2340" t="s">
        <v>189</v>
      </c>
      <c r="C2340" s="22">
        <v>46215</v>
      </c>
      <c r="D2340" s="23">
        <v>29980</v>
      </c>
    </row>
    <row r="2341" spans="1:4">
      <c r="A2341" t="s">
        <v>20</v>
      </c>
      <c r="B2341" t="s">
        <v>144</v>
      </c>
      <c r="C2341" s="22">
        <v>46215</v>
      </c>
      <c r="D2341" s="23">
        <v>39109</v>
      </c>
    </row>
    <row r="2342" spans="1:4">
      <c r="A2342" t="s">
        <v>20</v>
      </c>
      <c r="B2342" t="s">
        <v>169</v>
      </c>
      <c r="C2342" s="22">
        <v>46215</v>
      </c>
      <c r="D2342" s="23">
        <v>34930</v>
      </c>
    </row>
    <row r="2343" spans="1:4">
      <c r="A2343" t="s">
        <v>20</v>
      </c>
      <c r="B2343" t="s">
        <v>165</v>
      </c>
      <c r="C2343" s="22">
        <v>46215</v>
      </c>
      <c r="D2343" s="23">
        <v>35626</v>
      </c>
    </row>
    <row r="2344" spans="1:4">
      <c r="A2344" t="s">
        <v>18</v>
      </c>
      <c r="B2344" t="s">
        <v>95</v>
      </c>
      <c r="C2344" s="22">
        <v>46215</v>
      </c>
      <c r="D2344" s="23">
        <v>56299</v>
      </c>
    </row>
    <row r="2345" spans="1:4">
      <c r="A2345" t="s">
        <v>18</v>
      </c>
      <c r="B2345" t="s">
        <v>129</v>
      </c>
      <c r="C2345" s="22">
        <v>46215</v>
      </c>
      <c r="D2345" s="23">
        <v>36529</v>
      </c>
    </row>
    <row r="2346" spans="1:4">
      <c r="A2346" t="s">
        <v>18</v>
      </c>
      <c r="B2346" t="s">
        <v>159</v>
      </c>
      <c r="C2346" s="22">
        <v>46215</v>
      </c>
      <c r="D2346" s="23">
        <v>36329</v>
      </c>
    </row>
    <row r="2347" spans="1:4">
      <c r="A2347" t="s">
        <v>21</v>
      </c>
      <c r="B2347" t="s">
        <v>98</v>
      </c>
      <c r="C2347" s="22">
        <v>46216</v>
      </c>
      <c r="D2347" s="23">
        <v>37142</v>
      </c>
    </row>
    <row r="2348" spans="1:4">
      <c r="A2348" t="s">
        <v>22</v>
      </c>
      <c r="B2348" t="s">
        <v>167</v>
      </c>
      <c r="C2348" s="22">
        <v>46216</v>
      </c>
      <c r="D2348" s="23">
        <v>24805</v>
      </c>
    </row>
    <row r="2349" spans="1:4">
      <c r="A2349" t="s">
        <v>38</v>
      </c>
      <c r="B2349" t="s">
        <v>157</v>
      </c>
      <c r="C2349" s="22">
        <v>46216</v>
      </c>
      <c r="D2349" s="23">
        <v>14224</v>
      </c>
    </row>
    <row r="2350" spans="1:4">
      <c r="A2350" t="s">
        <v>20</v>
      </c>
      <c r="B2350" t="s">
        <v>126</v>
      </c>
      <c r="C2350" s="22">
        <v>46216</v>
      </c>
      <c r="D2350" s="23">
        <v>26903</v>
      </c>
    </row>
    <row r="2351" spans="1:4">
      <c r="A2351" t="s">
        <v>20</v>
      </c>
      <c r="B2351" t="s">
        <v>191</v>
      </c>
      <c r="C2351" s="22">
        <v>46216</v>
      </c>
      <c r="D2351" s="23">
        <v>27227</v>
      </c>
    </row>
    <row r="2352" spans="1:4">
      <c r="A2352" t="s">
        <v>20</v>
      </c>
      <c r="B2352" t="s">
        <v>83</v>
      </c>
      <c r="C2352" s="22">
        <v>46216</v>
      </c>
      <c r="D2352" s="23">
        <v>29104</v>
      </c>
    </row>
    <row r="2353" spans="1:4">
      <c r="A2353" t="s">
        <v>18</v>
      </c>
      <c r="B2353" t="s">
        <v>59</v>
      </c>
      <c r="C2353" s="22">
        <v>46216</v>
      </c>
      <c r="D2353" s="23">
        <v>39500</v>
      </c>
    </row>
    <row r="2354" spans="1:4">
      <c r="A2354" t="s">
        <v>18</v>
      </c>
      <c r="B2354" t="s">
        <v>192</v>
      </c>
      <c r="C2354" s="22">
        <v>46216</v>
      </c>
      <c r="D2354" s="23">
        <v>41503</v>
      </c>
    </row>
    <row r="2355" spans="1:4">
      <c r="A2355" t="s">
        <v>18</v>
      </c>
      <c r="B2355" t="s">
        <v>192</v>
      </c>
      <c r="C2355" s="22">
        <v>46216</v>
      </c>
      <c r="D2355" s="23">
        <v>63528</v>
      </c>
    </row>
    <row r="2356" spans="1:4">
      <c r="A2356" t="s">
        <v>18</v>
      </c>
      <c r="B2356" t="s">
        <v>172</v>
      </c>
      <c r="C2356" s="22">
        <v>46216</v>
      </c>
      <c r="D2356" s="23">
        <v>33003</v>
      </c>
    </row>
    <row r="2357" spans="1:4">
      <c r="A2357" t="s">
        <v>18</v>
      </c>
      <c r="B2357" t="s">
        <v>224</v>
      </c>
      <c r="C2357" s="22">
        <v>46216</v>
      </c>
      <c r="D2357" s="23">
        <v>41697</v>
      </c>
    </row>
    <row r="2358" spans="1:4">
      <c r="A2358" t="s">
        <v>33</v>
      </c>
      <c r="B2358" t="s">
        <v>236</v>
      </c>
      <c r="C2358" s="22">
        <v>46217</v>
      </c>
      <c r="D2358" s="23">
        <v>14127</v>
      </c>
    </row>
    <row r="2359" spans="1:4">
      <c r="A2359" t="s">
        <v>26</v>
      </c>
      <c r="B2359" t="s">
        <v>255</v>
      </c>
      <c r="C2359" s="22">
        <v>46217</v>
      </c>
      <c r="D2359" s="23">
        <v>5200</v>
      </c>
    </row>
    <row r="2360" spans="1:4">
      <c r="A2360" t="s">
        <v>32</v>
      </c>
      <c r="B2360" t="s">
        <v>179</v>
      </c>
      <c r="C2360" s="22">
        <v>46217</v>
      </c>
      <c r="D2360" s="23">
        <v>14400</v>
      </c>
    </row>
    <row r="2361" spans="1:4">
      <c r="A2361" t="s">
        <v>25</v>
      </c>
      <c r="B2361" t="s">
        <v>180</v>
      </c>
      <c r="C2361" s="22">
        <v>46217</v>
      </c>
      <c r="D2361" s="23">
        <v>32208</v>
      </c>
    </row>
    <row r="2362" spans="1:4">
      <c r="A2362" t="s">
        <v>34</v>
      </c>
      <c r="B2362" t="s">
        <v>186</v>
      </c>
      <c r="C2362" s="22">
        <v>46217</v>
      </c>
      <c r="D2362" s="23">
        <v>14326</v>
      </c>
    </row>
    <row r="2363" spans="1:4">
      <c r="A2363" t="s">
        <v>23</v>
      </c>
      <c r="B2363" t="s">
        <v>221</v>
      </c>
      <c r="C2363" s="22">
        <v>46217</v>
      </c>
      <c r="D2363" s="23">
        <v>26456</v>
      </c>
    </row>
    <row r="2364" spans="1:4">
      <c r="A2364" t="s">
        <v>35</v>
      </c>
      <c r="B2364" t="s">
        <v>196</v>
      </c>
      <c r="C2364" s="22">
        <v>46217</v>
      </c>
      <c r="D2364" s="23">
        <v>14666</v>
      </c>
    </row>
    <row r="2365" spans="1:4">
      <c r="A2365" t="s">
        <v>20</v>
      </c>
      <c r="B2365" t="s">
        <v>137</v>
      </c>
      <c r="C2365" s="22">
        <v>46217</v>
      </c>
      <c r="D2365" s="23">
        <v>27419</v>
      </c>
    </row>
    <row r="2366" spans="1:4">
      <c r="A2366" t="s">
        <v>20</v>
      </c>
      <c r="B2366" t="s">
        <v>168</v>
      </c>
      <c r="C2366" s="22">
        <v>46217</v>
      </c>
      <c r="D2366" s="23">
        <v>29574</v>
      </c>
    </row>
    <row r="2367" spans="1:4">
      <c r="A2367" t="s">
        <v>18</v>
      </c>
      <c r="B2367" t="s">
        <v>58</v>
      </c>
      <c r="C2367" s="22">
        <v>46217</v>
      </c>
      <c r="D2367" s="23">
        <v>42404</v>
      </c>
    </row>
    <row r="2368" spans="1:4">
      <c r="A2368" t="s">
        <v>21</v>
      </c>
      <c r="B2368" t="s">
        <v>148</v>
      </c>
      <c r="C2368" s="22">
        <v>46218</v>
      </c>
      <c r="D2368" s="23">
        <v>28062</v>
      </c>
    </row>
    <row r="2369" spans="1:4">
      <c r="A2369" t="s">
        <v>31</v>
      </c>
      <c r="B2369" t="s">
        <v>49</v>
      </c>
      <c r="C2369" s="22">
        <v>46218</v>
      </c>
      <c r="D2369" s="23">
        <v>13737</v>
      </c>
    </row>
    <row r="2370" spans="1:4">
      <c r="A2370" t="s">
        <v>27</v>
      </c>
      <c r="B2370" t="s">
        <v>152</v>
      </c>
      <c r="C2370" s="22">
        <v>46218</v>
      </c>
      <c r="D2370" s="23">
        <v>20358</v>
      </c>
    </row>
    <row r="2371" spans="1:4">
      <c r="A2371" t="s">
        <v>32</v>
      </c>
      <c r="B2371" t="s">
        <v>178</v>
      </c>
      <c r="C2371" s="22">
        <v>46218</v>
      </c>
      <c r="D2371" s="23">
        <v>15922</v>
      </c>
    </row>
    <row r="2372" spans="1:4">
      <c r="A2372" t="s">
        <v>29</v>
      </c>
      <c r="B2372" t="s">
        <v>79</v>
      </c>
      <c r="C2372" s="22">
        <v>46218</v>
      </c>
      <c r="D2372" s="23">
        <v>15654</v>
      </c>
    </row>
    <row r="2373" spans="1:4">
      <c r="A2373" t="s">
        <v>22</v>
      </c>
      <c r="B2373" t="s">
        <v>188</v>
      </c>
      <c r="C2373" s="22">
        <v>46218</v>
      </c>
      <c r="D2373" s="23">
        <v>32209</v>
      </c>
    </row>
    <row r="2374" spans="1:4">
      <c r="A2374" t="s">
        <v>22</v>
      </c>
      <c r="B2374" t="s">
        <v>184</v>
      </c>
      <c r="C2374" s="22">
        <v>46218</v>
      </c>
      <c r="D2374" s="23">
        <v>37854</v>
      </c>
    </row>
    <row r="2375" spans="1:4">
      <c r="A2375" t="s">
        <v>20</v>
      </c>
      <c r="B2375" t="s">
        <v>54</v>
      </c>
      <c r="C2375" s="22">
        <v>46218</v>
      </c>
      <c r="D2375" s="23">
        <v>37740</v>
      </c>
    </row>
    <row r="2376" spans="1:4">
      <c r="A2376" t="s">
        <v>20</v>
      </c>
      <c r="B2376" t="s">
        <v>173</v>
      </c>
      <c r="C2376" s="22">
        <v>46218</v>
      </c>
      <c r="D2376" s="23">
        <v>36804</v>
      </c>
    </row>
    <row r="2377" spans="1:4">
      <c r="A2377" t="s">
        <v>18</v>
      </c>
      <c r="B2377" t="s">
        <v>56</v>
      </c>
      <c r="C2377" s="22">
        <v>46218</v>
      </c>
      <c r="D2377" s="23">
        <v>41221</v>
      </c>
    </row>
    <row r="2378" spans="1:4">
      <c r="A2378" t="s">
        <v>18</v>
      </c>
      <c r="B2378" t="s">
        <v>171</v>
      </c>
      <c r="C2378" s="22">
        <v>46218</v>
      </c>
      <c r="D2378" s="23">
        <v>37654</v>
      </c>
    </row>
    <row r="2379" spans="1:4">
      <c r="A2379" t="s">
        <v>18</v>
      </c>
      <c r="B2379" t="s">
        <v>96</v>
      </c>
      <c r="C2379" s="22">
        <v>46218</v>
      </c>
      <c r="D2379" s="23">
        <v>56018</v>
      </c>
    </row>
    <row r="2380" spans="1:4">
      <c r="A2380" t="s">
        <v>18</v>
      </c>
      <c r="B2380" t="s">
        <v>192</v>
      </c>
      <c r="C2380" s="22">
        <v>46218</v>
      </c>
      <c r="D2380" s="23">
        <v>56407</v>
      </c>
    </row>
    <row r="2381" spans="1:4">
      <c r="A2381" t="s">
        <v>18</v>
      </c>
      <c r="B2381" t="s">
        <v>58</v>
      </c>
      <c r="C2381" s="22">
        <v>46218</v>
      </c>
      <c r="D2381" s="23">
        <v>37994</v>
      </c>
    </row>
    <row r="2382" spans="1:4">
      <c r="A2382" t="s">
        <v>18</v>
      </c>
      <c r="B2382" t="s">
        <v>71</v>
      </c>
      <c r="C2382" s="22">
        <v>46218</v>
      </c>
      <c r="D2382" s="23">
        <v>44819</v>
      </c>
    </row>
    <row r="2383" spans="1:4">
      <c r="A2383" t="s">
        <v>18</v>
      </c>
      <c r="B2383" t="s">
        <v>107</v>
      </c>
      <c r="C2383" s="22">
        <v>46218</v>
      </c>
      <c r="D2383" s="23">
        <v>49974</v>
      </c>
    </row>
    <row r="2384" spans="1:4">
      <c r="A2384" t="s">
        <v>18</v>
      </c>
      <c r="B2384" t="s">
        <v>97</v>
      </c>
      <c r="C2384" s="22">
        <v>46218</v>
      </c>
      <c r="D2384" s="23">
        <v>49739</v>
      </c>
    </row>
    <row r="2385" spans="1:4">
      <c r="A2385" t="s">
        <v>18</v>
      </c>
      <c r="B2385" t="s">
        <v>97</v>
      </c>
      <c r="C2385" s="22">
        <v>46218</v>
      </c>
      <c r="D2385" s="23">
        <v>59409</v>
      </c>
    </row>
    <row r="2386" spans="1:4">
      <c r="A2386" t="s">
        <v>28</v>
      </c>
      <c r="B2386" t="s">
        <v>216</v>
      </c>
      <c r="C2386" s="22">
        <v>46219</v>
      </c>
      <c r="D2386" s="23">
        <v>14510</v>
      </c>
    </row>
    <row r="2387" spans="1:4">
      <c r="A2387" t="s">
        <v>21</v>
      </c>
      <c r="B2387" t="s">
        <v>219</v>
      </c>
      <c r="C2387" s="22">
        <v>46219</v>
      </c>
      <c r="D2387" s="23">
        <v>30449</v>
      </c>
    </row>
    <row r="2388" spans="1:4">
      <c r="A2388" t="s">
        <v>21</v>
      </c>
      <c r="B2388" t="s">
        <v>226</v>
      </c>
      <c r="C2388" s="22">
        <v>46219</v>
      </c>
      <c r="D2388" s="23">
        <v>39013</v>
      </c>
    </row>
    <row r="2389" spans="1:4">
      <c r="A2389" t="s">
        <v>21</v>
      </c>
      <c r="B2389" t="s">
        <v>246</v>
      </c>
      <c r="C2389" s="22">
        <v>46219</v>
      </c>
      <c r="D2389" s="23">
        <v>25935</v>
      </c>
    </row>
    <row r="2390" spans="1:4">
      <c r="A2390" t="s">
        <v>31</v>
      </c>
      <c r="B2390" t="s">
        <v>60</v>
      </c>
      <c r="C2390" s="22">
        <v>46219</v>
      </c>
      <c r="D2390" s="23">
        <v>13307</v>
      </c>
    </row>
    <row r="2391" spans="1:4">
      <c r="A2391" t="s">
        <v>27</v>
      </c>
      <c r="B2391" t="s">
        <v>155</v>
      </c>
      <c r="C2391" s="22">
        <v>46219</v>
      </c>
      <c r="D2391" s="23">
        <v>18180</v>
      </c>
    </row>
    <row r="2392" spans="1:4">
      <c r="A2392" t="s">
        <v>25</v>
      </c>
      <c r="B2392" t="s">
        <v>132</v>
      </c>
      <c r="C2392" s="22">
        <v>46219</v>
      </c>
      <c r="D2392" s="23">
        <v>23278</v>
      </c>
    </row>
    <row r="2393" spans="1:4">
      <c r="A2393" t="s">
        <v>22</v>
      </c>
      <c r="B2393" t="s">
        <v>126</v>
      </c>
      <c r="C2393" s="22">
        <v>46219</v>
      </c>
      <c r="D2393" s="23">
        <v>24249</v>
      </c>
    </row>
    <row r="2394" spans="1:4">
      <c r="A2394" t="s">
        <v>20</v>
      </c>
      <c r="B2394" t="s">
        <v>89</v>
      </c>
      <c r="C2394" s="22">
        <v>46219</v>
      </c>
      <c r="D2394" s="23">
        <v>31820</v>
      </c>
    </row>
    <row r="2395" spans="1:4">
      <c r="A2395" t="s">
        <v>20</v>
      </c>
      <c r="B2395" t="s">
        <v>89</v>
      </c>
      <c r="C2395" s="22">
        <v>46219</v>
      </c>
      <c r="D2395" s="23">
        <v>31223</v>
      </c>
    </row>
    <row r="2396" spans="1:4">
      <c r="A2396" t="s">
        <v>20</v>
      </c>
      <c r="B2396" t="s">
        <v>82</v>
      </c>
      <c r="C2396" s="22">
        <v>46219</v>
      </c>
      <c r="D2396" s="23">
        <v>44880</v>
      </c>
    </row>
    <row r="2397" spans="1:4">
      <c r="A2397" t="s">
        <v>18</v>
      </c>
      <c r="B2397" t="s">
        <v>190</v>
      </c>
      <c r="C2397" s="22">
        <v>46219</v>
      </c>
      <c r="D2397" s="23">
        <v>44599</v>
      </c>
    </row>
    <row r="2398" spans="1:4">
      <c r="A2398" t="s">
        <v>18</v>
      </c>
      <c r="B2398" t="s">
        <v>56</v>
      </c>
      <c r="C2398" s="22">
        <v>46219</v>
      </c>
      <c r="D2398" s="23">
        <v>32712</v>
      </c>
    </row>
    <row r="2399" spans="1:4">
      <c r="A2399" t="s">
        <v>18</v>
      </c>
      <c r="B2399" t="s">
        <v>68</v>
      </c>
      <c r="C2399" s="22">
        <v>46219</v>
      </c>
      <c r="D2399" s="23">
        <v>45947</v>
      </c>
    </row>
    <row r="2400" spans="1:4">
      <c r="A2400" t="s">
        <v>18</v>
      </c>
      <c r="B2400" t="s">
        <v>58</v>
      </c>
      <c r="C2400" s="22">
        <v>46219</v>
      </c>
      <c r="D2400" s="23">
        <v>40548</v>
      </c>
    </row>
    <row r="2401" spans="1:4">
      <c r="A2401" t="s">
        <v>18</v>
      </c>
      <c r="B2401" t="s">
        <v>72</v>
      </c>
      <c r="C2401" s="22">
        <v>46219</v>
      </c>
      <c r="D2401" s="23">
        <v>55547</v>
      </c>
    </row>
    <row r="2402" spans="1:4">
      <c r="A2402" t="s">
        <v>26</v>
      </c>
      <c r="B2402" t="s">
        <v>175</v>
      </c>
      <c r="C2402" s="22">
        <v>46220</v>
      </c>
      <c r="D2402" s="23">
        <v>21602</v>
      </c>
    </row>
    <row r="2403" spans="1:4">
      <c r="A2403" t="s">
        <v>23</v>
      </c>
      <c r="B2403" t="s">
        <v>262</v>
      </c>
      <c r="C2403" s="22">
        <v>46220</v>
      </c>
      <c r="D2403" s="23">
        <v>23131</v>
      </c>
    </row>
    <row r="2404" spans="1:4">
      <c r="A2404" t="s">
        <v>22</v>
      </c>
      <c r="B2404" t="s">
        <v>137</v>
      </c>
      <c r="C2404" s="22">
        <v>46220</v>
      </c>
      <c r="D2404" s="23">
        <v>24888</v>
      </c>
    </row>
    <row r="2405" spans="1:4">
      <c r="A2405" t="s">
        <v>22</v>
      </c>
      <c r="B2405" t="s">
        <v>223</v>
      </c>
      <c r="C2405" s="22">
        <v>46220</v>
      </c>
      <c r="D2405" s="23">
        <v>23383</v>
      </c>
    </row>
    <row r="2406" spans="1:4">
      <c r="A2406" t="s">
        <v>18</v>
      </c>
      <c r="B2406" t="s">
        <v>59</v>
      </c>
      <c r="C2406" s="22">
        <v>46220</v>
      </c>
      <c r="D2406" s="23">
        <v>42952</v>
      </c>
    </row>
    <row r="2407" spans="1:4">
      <c r="A2407" t="s">
        <v>18</v>
      </c>
      <c r="B2407" t="s">
        <v>93</v>
      </c>
      <c r="C2407" s="22">
        <v>46220</v>
      </c>
      <c r="D2407" s="23">
        <v>30776</v>
      </c>
    </row>
    <row r="2408" spans="1:4">
      <c r="A2408" t="s">
        <v>18</v>
      </c>
      <c r="B2408" t="s">
        <v>171</v>
      </c>
      <c r="C2408" s="22">
        <v>46220</v>
      </c>
      <c r="D2408" s="23">
        <v>34253</v>
      </c>
    </row>
    <row r="2409" spans="1:4">
      <c r="A2409" t="s">
        <v>18</v>
      </c>
      <c r="B2409" t="s">
        <v>118</v>
      </c>
      <c r="C2409" s="22">
        <v>46220</v>
      </c>
      <c r="D2409" s="23">
        <v>52661</v>
      </c>
    </row>
    <row r="2410" spans="1:4">
      <c r="A2410" t="s">
        <v>18</v>
      </c>
      <c r="B2410" t="s">
        <v>208</v>
      </c>
      <c r="C2410" s="22">
        <v>46220</v>
      </c>
      <c r="D2410" s="23">
        <v>33733</v>
      </c>
    </row>
    <row r="2411" spans="1:4">
      <c r="A2411" t="s">
        <v>18</v>
      </c>
      <c r="B2411" t="s">
        <v>86</v>
      </c>
      <c r="C2411" s="22">
        <v>46220</v>
      </c>
      <c r="D2411" s="23">
        <v>38922</v>
      </c>
    </row>
    <row r="2412" spans="1:4">
      <c r="A2412" t="s">
        <v>18</v>
      </c>
      <c r="B2412" t="s">
        <v>224</v>
      </c>
      <c r="C2412" s="22">
        <v>46220</v>
      </c>
      <c r="D2412" s="23">
        <v>51770</v>
      </c>
    </row>
    <row r="2413" spans="1:4">
      <c r="A2413" t="s">
        <v>21</v>
      </c>
      <c r="B2413" t="s">
        <v>209</v>
      </c>
      <c r="C2413" s="22">
        <v>46221</v>
      </c>
      <c r="D2413" s="23">
        <v>27169</v>
      </c>
    </row>
    <row r="2414" spans="1:4">
      <c r="A2414" t="s">
        <v>21</v>
      </c>
      <c r="B2414" t="s">
        <v>130</v>
      </c>
      <c r="C2414" s="22">
        <v>46221</v>
      </c>
      <c r="D2414" s="23">
        <v>26015</v>
      </c>
    </row>
    <row r="2415" spans="1:4">
      <c r="A2415" t="s">
        <v>32</v>
      </c>
      <c r="B2415" t="s">
        <v>205</v>
      </c>
      <c r="C2415" s="22">
        <v>46221</v>
      </c>
      <c r="D2415" s="23">
        <v>5200</v>
      </c>
    </row>
    <row r="2416" spans="1:4">
      <c r="A2416" t="s">
        <v>25</v>
      </c>
      <c r="B2416" t="s">
        <v>245</v>
      </c>
      <c r="C2416" s="22">
        <v>46221</v>
      </c>
      <c r="D2416" s="23">
        <v>22695</v>
      </c>
    </row>
    <row r="2417" spans="1:4">
      <c r="A2417" t="s">
        <v>23</v>
      </c>
      <c r="B2417" t="s">
        <v>62</v>
      </c>
      <c r="C2417" s="22">
        <v>46221</v>
      </c>
      <c r="D2417" s="23">
        <v>34956</v>
      </c>
    </row>
    <row r="2418" spans="1:4">
      <c r="A2418" t="s">
        <v>20</v>
      </c>
      <c r="B2418" t="s">
        <v>170</v>
      </c>
      <c r="C2418" s="22">
        <v>46221</v>
      </c>
      <c r="D2418" s="23">
        <v>35165</v>
      </c>
    </row>
    <row r="2419" spans="1:4">
      <c r="A2419" t="s">
        <v>20</v>
      </c>
      <c r="B2419" t="s">
        <v>230</v>
      </c>
      <c r="C2419" s="22">
        <v>46221</v>
      </c>
      <c r="D2419" s="23">
        <v>35504</v>
      </c>
    </row>
    <row r="2420" spans="1:4">
      <c r="A2420" t="s">
        <v>18</v>
      </c>
      <c r="B2420" t="s">
        <v>54</v>
      </c>
      <c r="C2420" s="22">
        <v>46221</v>
      </c>
      <c r="D2420" s="23">
        <v>48582</v>
      </c>
    </row>
    <row r="2421" spans="1:4">
      <c r="A2421" t="s">
        <v>18</v>
      </c>
      <c r="B2421" t="s">
        <v>105</v>
      </c>
      <c r="C2421" s="22">
        <v>46221</v>
      </c>
      <c r="D2421" s="23">
        <v>28492</v>
      </c>
    </row>
    <row r="2422" spans="1:4">
      <c r="A2422" t="s">
        <v>18</v>
      </c>
      <c r="B2422" t="s">
        <v>67</v>
      </c>
      <c r="C2422" s="22">
        <v>46221</v>
      </c>
      <c r="D2422" s="23">
        <v>30239</v>
      </c>
    </row>
    <row r="2423" spans="1:4">
      <c r="A2423" t="s">
        <v>18</v>
      </c>
      <c r="B2423" t="s">
        <v>67</v>
      </c>
      <c r="C2423" s="22">
        <v>46221</v>
      </c>
      <c r="D2423" s="23">
        <v>46680</v>
      </c>
    </row>
    <row r="2424" spans="1:4">
      <c r="A2424" t="s">
        <v>18</v>
      </c>
      <c r="B2424" t="s">
        <v>53</v>
      </c>
      <c r="C2424" s="22">
        <v>46221</v>
      </c>
      <c r="D2424" s="23">
        <v>33606</v>
      </c>
    </row>
    <row r="2425" spans="1:4">
      <c r="A2425" t="s">
        <v>18</v>
      </c>
      <c r="B2425" t="s">
        <v>208</v>
      </c>
      <c r="C2425" s="22">
        <v>46221</v>
      </c>
      <c r="D2425" s="23">
        <v>52215</v>
      </c>
    </row>
    <row r="2426" spans="1:4">
      <c r="A2426" t="s">
        <v>18</v>
      </c>
      <c r="B2426" t="s">
        <v>116</v>
      </c>
      <c r="C2426" s="22">
        <v>46221</v>
      </c>
      <c r="D2426" s="23">
        <v>12333</v>
      </c>
    </row>
    <row r="2427" spans="1:4">
      <c r="A2427" t="s">
        <v>18</v>
      </c>
      <c r="B2427" t="s">
        <v>72</v>
      </c>
      <c r="C2427" s="22">
        <v>46221</v>
      </c>
      <c r="D2427" s="23">
        <v>38136</v>
      </c>
    </row>
    <row r="2428" spans="1:4">
      <c r="A2428" t="s">
        <v>37</v>
      </c>
      <c r="B2428" t="s">
        <v>73</v>
      </c>
      <c r="C2428" s="22">
        <v>46222</v>
      </c>
      <c r="D2428" s="23">
        <v>14563</v>
      </c>
    </row>
    <row r="2429" spans="1:4">
      <c r="A2429" t="s">
        <v>28</v>
      </c>
      <c r="B2429" t="s">
        <v>201</v>
      </c>
      <c r="C2429" s="22">
        <v>46222</v>
      </c>
      <c r="D2429" s="23">
        <v>16051</v>
      </c>
    </row>
    <row r="2430" spans="1:4">
      <c r="A2430" t="s">
        <v>21</v>
      </c>
      <c r="B2430" t="s">
        <v>130</v>
      </c>
      <c r="C2430" s="22">
        <v>46222</v>
      </c>
      <c r="D2430" s="23">
        <v>33476</v>
      </c>
    </row>
    <row r="2431" spans="1:4">
      <c r="A2431" t="s">
        <v>33</v>
      </c>
      <c r="B2431" t="s">
        <v>154</v>
      </c>
      <c r="C2431" s="22">
        <v>46222</v>
      </c>
      <c r="D2431" s="23">
        <v>13111</v>
      </c>
    </row>
    <row r="2432" spans="1:4">
      <c r="A2432" t="s">
        <v>25</v>
      </c>
      <c r="B2432" t="s">
        <v>112</v>
      </c>
      <c r="C2432" s="22">
        <v>46222</v>
      </c>
      <c r="D2432" s="23">
        <v>41852</v>
      </c>
    </row>
    <row r="2433" spans="1:4">
      <c r="A2433" t="s">
        <v>29</v>
      </c>
      <c r="B2433" t="s">
        <v>227</v>
      </c>
      <c r="C2433" s="22">
        <v>46222</v>
      </c>
      <c r="D2433" s="23">
        <v>14896</v>
      </c>
    </row>
    <row r="2434" spans="1:4">
      <c r="A2434" t="s">
        <v>22</v>
      </c>
      <c r="B2434" t="s">
        <v>115</v>
      </c>
      <c r="C2434" s="22">
        <v>46222</v>
      </c>
      <c r="D2434" s="23">
        <v>41110</v>
      </c>
    </row>
    <row r="2435" spans="1:4">
      <c r="A2435" t="s">
        <v>22</v>
      </c>
      <c r="B2435" t="s">
        <v>213</v>
      </c>
      <c r="C2435" s="22">
        <v>46222</v>
      </c>
      <c r="D2435" s="23">
        <v>29881</v>
      </c>
    </row>
    <row r="2436" spans="1:4">
      <c r="A2436" t="s">
        <v>20</v>
      </c>
      <c r="B2436" t="s">
        <v>91</v>
      </c>
      <c r="C2436" s="22">
        <v>46222</v>
      </c>
      <c r="D2436" s="23">
        <v>32175</v>
      </c>
    </row>
    <row r="2437" spans="1:4">
      <c r="A2437" t="s">
        <v>18</v>
      </c>
      <c r="B2437" t="s">
        <v>69</v>
      </c>
      <c r="C2437" s="22">
        <v>46222</v>
      </c>
      <c r="D2437" s="23">
        <v>35226</v>
      </c>
    </row>
    <row r="2438" spans="1:4">
      <c r="A2438" t="s">
        <v>18</v>
      </c>
      <c r="B2438" t="s">
        <v>129</v>
      </c>
      <c r="C2438" s="22">
        <v>46222</v>
      </c>
      <c r="D2438" s="23">
        <v>36377</v>
      </c>
    </row>
    <row r="2439" spans="1:4">
      <c r="A2439" t="s">
        <v>28</v>
      </c>
      <c r="B2439" t="s">
        <v>202</v>
      </c>
      <c r="C2439" s="22">
        <v>46223</v>
      </c>
      <c r="D2439" s="23">
        <v>10836</v>
      </c>
    </row>
    <row r="2440" spans="1:4">
      <c r="A2440" t="s">
        <v>21</v>
      </c>
      <c r="B2440" t="s">
        <v>240</v>
      </c>
      <c r="C2440" s="22">
        <v>46223</v>
      </c>
      <c r="D2440" s="23">
        <v>8840</v>
      </c>
    </row>
    <row r="2441" spans="1:4">
      <c r="A2441" t="s">
        <v>21</v>
      </c>
      <c r="B2441" t="s">
        <v>58</v>
      </c>
      <c r="C2441" s="22">
        <v>46223</v>
      </c>
      <c r="D2441" s="23">
        <v>44211</v>
      </c>
    </row>
    <row r="2442" spans="1:4">
      <c r="A2442" t="s">
        <v>26</v>
      </c>
      <c r="B2442" t="s">
        <v>109</v>
      </c>
      <c r="C2442" s="22">
        <v>46223</v>
      </c>
      <c r="D2442" s="23">
        <v>18805</v>
      </c>
    </row>
    <row r="2443" spans="1:4">
      <c r="A2443" t="s">
        <v>26</v>
      </c>
      <c r="B2443" t="s">
        <v>220</v>
      </c>
      <c r="C2443" s="22">
        <v>46223</v>
      </c>
      <c r="D2443" s="23">
        <v>17507</v>
      </c>
    </row>
    <row r="2444" spans="1:4">
      <c r="A2444" t="s">
        <v>25</v>
      </c>
      <c r="B2444" t="s">
        <v>113</v>
      </c>
      <c r="C2444" s="22">
        <v>46223</v>
      </c>
      <c r="D2444" s="23">
        <v>19211</v>
      </c>
    </row>
    <row r="2445" spans="1:4">
      <c r="A2445" t="s">
        <v>20</v>
      </c>
      <c r="B2445" t="s">
        <v>169</v>
      </c>
      <c r="C2445" s="22">
        <v>46223</v>
      </c>
      <c r="D2445" s="23">
        <v>37481</v>
      </c>
    </row>
    <row r="2446" spans="1:4">
      <c r="A2446" t="s">
        <v>18</v>
      </c>
      <c r="B2446" t="s">
        <v>92</v>
      </c>
      <c r="C2446" s="22">
        <v>46223</v>
      </c>
      <c r="D2446" s="23">
        <v>53325</v>
      </c>
    </row>
    <row r="2447" spans="1:4">
      <c r="A2447" t="s">
        <v>18</v>
      </c>
      <c r="B2447" t="s">
        <v>139</v>
      </c>
      <c r="C2447" s="22">
        <v>46223</v>
      </c>
      <c r="D2447" s="23">
        <v>38648</v>
      </c>
    </row>
    <row r="2448" spans="1:4">
      <c r="A2448" t="s">
        <v>18</v>
      </c>
      <c r="B2448" t="s">
        <v>159</v>
      </c>
      <c r="C2448" s="22">
        <v>46223</v>
      </c>
      <c r="D2448" s="23">
        <v>39103</v>
      </c>
    </row>
    <row r="2449" spans="1:4">
      <c r="A2449" t="s">
        <v>18</v>
      </c>
      <c r="B2449" t="s">
        <v>86</v>
      </c>
      <c r="C2449" s="22">
        <v>46223</v>
      </c>
      <c r="D2449" s="23">
        <v>47260</v>
      </c>
    </row>
    <row r="2450" spans="1:4">
      <c r="A2450" t="s">
        <v>18</v>
      </c>
      <c r="B2450" t="s">
        <v>107</v>
      </c>
      <c r="C2450" s="22">
        <v>46223</v>
      </c>
      <c r="D2450" s="23">
        <v>44765</v>
      </c>
    </row>
    <row r="2451" spans="1:4">
      <c r="A2451" t="s">
        <v>21</v>
      </c>
      <c r="B2451" t="s">
        <v>277</v>
      </c>
      <c r="C2451" s="22">
        <v>46224</v>
      </c>
      <c r="D2451" s="23">
        <v>27891</v>
      </c>
    </row>
    <row r="2452" spans="1:4">
      <c r="A2452" t="s">
        <v>21</v>
      </c>
      <c r="B2452" t="s">
        <v>56</v>
      </c>
      <c r="C2452" s="22">
        <v>46224</v>
      </c>
      <c r="D2452" s="23">
        <v>32554</v>
      </c>
    </row>
    <row r="2453" spans="1:4">
      <c r="A2453" t="s">
        <v>21</v>
      </c>
      <c r="B2453" t="s">
        <v>253</v>
      </c>
      <c r="C2453" s="22">
        <v>46224</v>
      </c>
      <c r="D2453" s="23">
        <v>30047</v>
      </c>
    </row>
    <row r="2454" spans="1:4">
      <c r="A2454" t="s">
        <v>26</v>
      </c>
      <c r="B2454" t="s">
        <v>276</v>
      </c>
      <c r="C2454" s="22">
        <v>46224</v>
      </c>
      <c r="D2454" s="23">
        <v>31808</v>
      </c>
    </row>
    <row r="2455" spans="1:4">
      <c r="A2455" t="s">
        <v>27</v>
      </c>
      <c r="B2455" t="s">
        <v>256</v>
      </c>
      <c r="C2455" s="22">
        <v>46224</v>
      </c>
      <c r="D2455" s="23">
        <v>15626</v>
      </c>
    </row>
    <row r="2456" spans="1:4">
      <c r="A2456" t="s">
        <v>25</v>
      </c>
      <c r="B2456" t="s">
        <v>181</v>
      </c>
      <c r="C2456" s="22">
        <v>46224</v>
      </c>
      <c r="D2456" s="23">
        <v>19611</v>
      </c>
    </row>
    <row r="2457" spans="1:4">
      <c r="A2457" t="s">
        <v>25</v>
      </c>
      <c r="B2457" t="s">
        <v>228</v>
      </c>
      <c r="C2457" s="22">
        <v>46224</v>
      </c>
      <c r="D2457" s="23">
        <v>21634</v>
      </c>
    </row>
    <row r="2458" spans="1:4">
      <c r="A2458" t="s">
        <v>25</v>
      </c>
      <c r="B2458" t="s">
        <v>275</v>
      </c>
      <c r="C2458" s="22">
        <v>46224</v>
      </c>
      <c r="D2458" s="23">
        <v>20144</v>
      </c>
    </row>
    <row r="2459" spans="1:4">
      <c r="A2459" t="s">
        <v>35</v>
      </c>
      <c r="B2459" t="s">
        <v>123</v>
      </c>
      <c r="C2459" s="22">
        <v>46224</v>
      </c>
      <c r="D2459" s="23">
        <v>14164</v>
      </c>
    </row>
    <row r="2460" spans="1:4">
      <c r="A2460" t="s">
        <v>29</v>
      </c>
      <c r="B2460" t="s">
        <v>124</v>
      </c>
      <c r="C2460" s="22">
        <v>46224</v>
      </c>
      <c r="D2460" s="23">
        <v>5200</v>
      </c>
    </row>
    <row r="2461" spans="1:4">
      <c r="A2461" t="s">
        <v>22</v>
      </c>
      <c r="B2461" t="s">
        <v>80</v>
      </c>
      <c r="C2461" s="22">
        <v>46224</v>
      </c>
      <c r="D2461" s="23">
        <v>23829</v>
      </c>
    </row>
    <row r="2462" spans="1:4">
      <c r="A2462" t="s">
        <v>20</v>
      </c>
      <c r="B2462" t="s">
        <v>91</v>
      </c>
      <c r="C2462" s="22">
        <v>46224</v>
      </c>
      <c r="D2462" s="23">
        <v>27348</v>
      </c>
    </row>
    <row r="2463" spans="1:4">
      <c r="A2463" t="s">
        <v>18</v>
      </c>
      <c r="B2463" t="s">
        <v>171</v>
      </c>
      <c r="C2463" s="22">
        <v>46224</v>
      </c>
      <c r="D2463" s="23">
        <v>38714</v>
      </c>
    </row>
    <row r="2464" spans="1:4">
      <c r="A2464" t="s">
        <v>18</v>
      </c>
      <c r="B2464" t="s">
        <v>85</v>
      </c>
      <c r="C2464" s="22">
        <v>46224</v>
      </c>
      <c r="D2464" s="23">
        <v>40424</v>
      </c>
    </row>
    <row r="2465" spans="1:4">
      <c r="A2465" t="s">
        <v>18</v>
      </c>
      <c r="B2465" t="s">
        <v>162</v>
      </c>
      <c r="C2465" s="22">
        <v>46224</v>
      </c>
      <c r="D2465" s="23">
        <v>43837</v>
      </c>
    </row>
    <row r="2466" spans="1:4">
      <c r="A2466" t="s">
        <v>18</v>
      </c>
      <c r="B2466" t="s">
        <v>71</v>
      </c>
      <c r="C2466" s="22">
        <v>46224</v>
      </c>
      <c r="D2466" s="23">
        <v>42246</v>
      </c>
    </row>
    <row r="2467" spans="1:4">
      <c r="A2467" t="s">
        <v>33</v>
      </c>
      <c r="B2467" t="s">
        <v>149</v>
      </c>
      <c r="C2467" s="22">
        <v>46225</v>
      </c>
      <c r="D2467" s="23">
        <v>13171</v>
      </c>
    </row>
    <row r="2468" spans="1:4">
      <c r="A2468" t="s">
        <v>27</v>
      </c>
      <c r="B2468" t="s">
        <v>100</v>
      </c>
      <c r="C2468" s="22">
        <v>46225</v>
      </c>
      <c r="D2468" s="23">
        <v>14427</v>
      </c>
    </row>
    <row r="2469" spans="1:4">
      <c r="A2469" t="s">
        <v>34</v>
      </c>
      <c r="B2469" t="s">
        <v>51</v>
      </c>
      <c r="C2469" s="22">
        <v>46225</v>
      </c>
      <c r="D2469" s="23">
        <v>21289</v>
      </c>
    </row>
    <row r="2470" spans="1:4">
      <c r="A2470" t="s">
        <v>22</v>
      </c>
      <c r="B2470" t="s">
        <v>268</v>
      </c>
      <c r="C2470" s="22">
        <v>46225</v>
      </c>
      <c r="D2470" s="23">
        <v>30811</v>
      </c>
    </row>
    <row r="2471" spans="1:4">
      <c r="A2471" t="s">
        <v>20</v>
      </c>
      <c r="B2471" t="s">
        <v>170</v>
      </c>
      <c r="C2471" s="22">
        <v>46225</v>
      </c>
      <c r="D2471" s="23">
        <v>37096</v>
      </c>
    </row>
    <row r="2472" spans="1:4">
      <c r="A2472" t="s">
        <v>20</v>
      </c>
      <c r="B2472" t="s">
        <v>191</v>
      </c>
      <c r="C2472" s="22">
        <v>46225</v>
      </c>
      <c r="D2472" s="23">
        <v>33781</v>
      </c>
    </row>
    <row r="2473" spans="1:4">
      <c r="A2473" t="s">
        <v>18</v>
      </c>
      <c r="B2473" t="s">
        <v>105</v>
      </c>
      <c r="C2473" s="22">
        <v>46225</v>
      </c>
      <c r="D2473" s="23">
        <v>37235</v>
      </c>
    </row>
    <row r="2474" spans="1:4">
      <c r="A2474" t="s">
        <v>18</v>
      </c>
      <c r="B2474" t="s">
        <v>173</v>
      </c>
      <c r="C2474" s="22">
        <v>46225</v>
      </c>
      <c r="D2474" s="23">
        <v>36202</v>
      </c>
    </row>
    <row r="2475" spans="1:4">
      <c r="A2475" t="s">
        <v>18</v>
      </c>
      <c r="B2475" t="s">
        <v>224</v>
      </c>
      <c r="C2475" s="22">
        <v>46225</v>
      </c>
      <c r="D2475" s="23">
        <v>34240</v>
      </c>
    </row>
    <row r="2476" spans="1:4">
      <c r="A2476" t="s">
        <v>28</v>
      </c>
      <c r="B2476" t="s">
        <v>235</v>
      </c>
      <c r="C2476" s="22">
        <v>46226</v>
      </c>
      <c r="D2476" s="23">
        <v>14629</v>
      </c>
    </row>
    <row r="2477" spans="1:4">
      <c r="A2477" t="s">
        <v>31</v>
      </c>
      <c r="B2477" t="s">
        <v>193</v>
      </c>
      <c r="C2477" s="22">
        <v>46226</v>
      </c>
      <c r="D2477" s="23">
        <v>12951</v>
      </c>
    </row>
    <row r="2478" spans="1:4">
      <c r="A2478" t="s">
        <v>31</v>
      </c>
      <c r="B2478" t="s">
        <v>273</v>
      </c>
      <c r="C2478" s="22">
        <v>46226</v>
      </c>
      <c r="D2478" s="23">
        <v>5200</v>
      </c>
    </row>
    <row r="2479" spans="1:4">
      <c r="A2479" t="s">
        <v>23</v>
      </c>
      <c r="B2479" t="s">
        <v>258</v>
      </c>
      <c r="C2479" s="22">
        <v>46226</v>
      </c>
      <c r="D2479" s="23">
        <v>19680</v>
      </c>
    </row>
    <row r="2480" spans="1:4">
      <c r="A2480" t="s">
        <v>20</v>
      </c>
      <c r="B2480" t="s">
        <v>158</v>
      </c>
      <c r="C2480" s="22">
        <v>46226</v>
      </c>
      <c r="D2480" s="23">
        <v>27415</v>
      </c>
    </row>
    <row r="2481" spans="1:4">
      <c r="A2481" t="s">
        <v>20</v>
      </c>
      <c r="B2481" t="s">
        <v>104</v>
      </c>
      <c r="C2481" s="22">
        <v>46226</v>
      </c>
      <c r="D2481" s="23">
        <v>20444</v>
      </c>
    </row>
    <row r="2482" spans="1:4">
      <c r="A2482" t="s">
        <v>18</v>
      </c>
      <c r="B2482" t="s">
        <v>207</v>
      </c>
      <c r="C2482" s="22">
        <v>46226</v>
      </c>
      <c r="D2482" s="23">
        <v>32917</v>
      </c>
    </row>
    <row r="2483" spans="1:4">
      <c r="A2483" t="s">
        <v>18</v>
      </c>
      <c r="B2483" t="s">
        <v>260</v>
      </c>
      <c r="C2483" s="22">
        <v>46226</v>
      </c>
      <c r="D2483" s="23">
        <v>47531</v>
      </c>
    </row>
    <row r="2484" spans="1:4">
      <c r="A2484" t="s">
        <v>18</v>
      </c>
      <c r="B2484" t="s">
        <v>162</v>
      </c>
      <c r="C2484" s="22">
        <v>46226</v>
      </c>
      <c r="D2484" s="23">
        <v>42586</v>
      </c>
    </row>
    <row r="2485" spans="1:4">
      <c r="A2485" t="s">
        <v>21</v>
      </c>
      <c r="B2485" t="s">
        <v>252</v>
      </c>
      <c r="C2485" s="22">
        <v>46227</v>
      </c>
      <c r="D2485" s="23">
        <v>53882</v>
      </c>
    </row>
    <row r="2486" spans="1:4">
      <c r="A2486" t="s">
        <v>21</v>
      </c>
      <c r="B2486" t="s">
        <v>65</v>
      </c>
      <c r="C2486" s="22">
        <v>46227</v>
      </c>
      <c r="D2486" s="23">
        <v>44892</v>
      </c>
    </row>
    <row r="2487" spans="1:4">
      <c r="A2487" t="s">
        <v>27</v>
      </c>
      <c r="B2487" t="s">
        <v>279</v>
      </c>
      <c r="C2487" s="22">
        <v>46227</v>
      </c>
      <c r="D2487" s="23">
        <v>17719</v>
      </c>
    </row>
    <row r="2488" spans="1:4">
      <c r="A2488" t="s">
        <v>34</v>
      </c>
      <c r="B2488" t="s">
        <v>261</v>
      </c>
      <c r="C2488" s="22">
        <v>46227</v>
      </c>
      <c r="D2488" s="23">
        <v>7352</v>
      </c>
    </row>
    <row r="2489" spans="1:4">
      <c r="A2489" t="s">
        <v>23</v>
      </c>
      <c r="B2489" t="s">
        <v>264</v>
      </c>
      <c r="C2489" s="22">
        <v>46227</v>
      </c>
      <c r="D2489" s="23">
        <v>26501</v>
      </c>
    </row>
    <row r="2490" spans="1:4">
      <c r="A2490" t="s">
        <v>22</v>
      </c>
      <c r="B2490" t="s">
        <v>238</v>
      </c>
      <c r="C2490" s="22">
        <v>46227</v>
      </c>
      <c r="D2490" s="23">
        <v>10213</v>
      </c>
    </row>
    <row r="2491" spans="1:4">
      <c r="A2491" t="s">
        <v>22</v>
      </c>
      <c r="B2491" t="s">
        <v>143</v>
      </c>
      <c r="C2491" s="22">
        <v>46227</v>
      </c>
      <c r="D2491" s="23">
        <v>29127</v>
      </c>
    </row>
    <row r="2492" spans="1:4">
      <c r="A2492" t="s">
        <v>18</v>
      </c>
      <c r="B2492" t="s">
        <v>64</v>
      </c>
      <c r="C2492" s="22">
        <v>46227</v>
      </c>
      <c r="D2492" s="23">
        <v>48817</v>
      </c>
    </row>
    <row r="2493" spans="1:4">
      <c r="A2493" t="s">
        <v>18</v>
      </c>
      <c r="B2493" t="s">
        <v>260</v>
      </c>
      <c r="C2493" s="22">
        <v>46227</v>
      </c>
      <c r="D2493" s="23">
        <v>54367</v>
      </c>
    </row>
    <row r="2494" spans="1:4">
      <c r="A2494" t="s">
        <v>18</v>
      </c>
      <c r="B2494" t="s">
        <v>94</v>
      </c>
      <c r="C2494" s="22">
        <v>46227</v>
      </c>
      <c r="D2494" s="23">
        <v>30734</v>
      </c>
    </row>
    <row r="2495" spans="1:4">
      <c r="A2495" t="s">
        <v>18</v>
      </c>
      <c r="B2495" t="s">
        <v>70</v>
      </c>
      <c r="C2495" s="22">
        <v>46227</v>
      </c>
      <c r="D2495" s="23">
        <v>45645</v>
      </c>
    </row>
    <row r="2496" spans="1:4">
      <c r="A2496" t="s">
        <v>18</v>
      </c>
      <c r="B2496" t="s">
        <v>107</v>
      </c>
      <c r="C2496" s="22">
        <v>46227</v>
      </c>
      <c r="D2496" s="23">
        <v>42326</v>
      </c>
    </row>
    <row r="2497" spans="1:4">
      <c r="A2497" t="s">
        <v>21</v>
      </c>
      <c r="B2497" t="s">
        <v>277</v>
      </c>
      <c r="C2497" s="22">
        <v>46228</v>
      </c>
      <c r="D2497" s="23">
        <v>24625</v>
      </c>
    </row>
    <row r="2498" spans="1:4">
      <c r="A2498" t="s">
        <v>31</v>
      </c>
      <c r="B2498" t="s">
        <v>217</v>
      </c>
      <c r="C2498" s="22">
        <v>46228</v>
      </c>
      <c r="D2498" s="23">
        <v>17548</v>
      </c>
    </row>
    <row r="2499" spans="1:4">
      <c r="A2499" t="s">
        <v>25</v>
      </c>
      <c r="B2499" t="s">
        <v>267</v>
      </c>
      <c r="C2499" s="22">
        <v>46228</v>
      </c>
      <c r="D2499" s="23">
        <v>19348</v>
      </c>
    </row>
    <row r="2500" spans="1:4">
      <c r="A2500" t="s">
        <v>34</v>
      </c>
      <c r="B2500" t="s">
        <v>281</v>
      </c>
      <c r="C2500" s="22">
        <v>46228</v>
      </c>
      <c r="D2500" s="23">
        <v>22629</v>
      </c>
    </row>
    <row r="2501" spans="1:4">
      <c r="A2501" t="s">
        <v>23</v>
      </c>
      <c r="B2501" t="s">
        <v>77</v>
      </c>
      <c r="C2501" s="22">
        <v>46228</v>
      </c>
      <c r="D2501" s="23">
        <v>22387</v>
      </c>
    </row>
    <row r="2502" spans="1:4">
      <c r="A2502" t="s">
        <v>20</v>
      </c>
      <c r="B2502" t="s">
        <v>102</v>
      </c>
      <c r="C2502" s="22">
        <v>46228</v>
      </c>
      <c r="D2502" s="23">
        <v>42140</v>
      </c>
    </row>
    <row r="2503" spans="1:4">
      <c r="A2503" t="s">
        <v>20</v>
      </c>
      <c r="B2503" t="s">
        <v>115</v>
      </c>
      <c r="C2503" s="22">
        <v>46228</v>
      </c>
      <c r="D2503" s="23">
        <v>30651</v>
      </c>
    </row>
    <row r="2504" spans="1:4">
      <c r="A2504" t="s">
        <v>20</v>
      </c>
      <c r="B2504" t="s">
        <v>168</v>
      </c>
      <c r="C2504" s="22">
        <v>46228</v>
      </c>
      <c r="D2504" s="23">
        <v>24943</v>
      </c>
    </row>
    <row r="2505" spans="1:4">
      <c r="A2505" t="s">
        <v>18</v>
      </c>
      <c r="B2505" t="s">
        <v>92</v>
      </c>
      <c r="C2505" s="22">
        <v>46228</v>
      </c>
      <c r="D2505" s="23">
        <v>40195</v>
      </c>
    </row>
    <row r="2506" spans="1:4">
      <c r="A2506" t="s">
        <v>18</v>
      </c>
      <c r="B2506" t="s">
        <v>192</v>
      </c>
      <c r="C2506" s="22">
        <v>46228</v>
      </c>
      <c r="D2506" s="23">
        <v>40605</v>
      </c>
    </row>
    <row r="2507" spans="1:4">
      <c r="A2507" t="s">
        <v>18</v>
      </c>
      <c r="B2507" t="s">
        <v>118</v>
      </c>
      <c r="C2507" s="22">
        <v>46228</v>
      </c>
      <c r="D2507" s="23">
        <v>47215</v>
      </c>
    </row>
    <row r="2508" spans="1:4">
      <c r="A2508" t="s">
        <v>18</v>
      </c>
      <c r="B2508" t="s">
        <v>71</v>
      </c>
      <c r="C2508" s="22">
        <v>46228</v>
      </c>
      <c r="D2508" s="23">
        <v>27750</v>
      </c>
    </row>
    <row r="2509" spans="1:4">
      <c r="A2509" t="s">
        <v>39</v>
      </c>
      <c r="B2509" t="s">
        <v>74</v>
      </c>
      <c r="C2509" s="22">
        <v>46229</v>
      </c>
      <c r="D2509" s="23">
        <v>5200</v>
      </c>
    </row>
    <row r="2510" spans="1:4">
      <c r="A2510" t="s">
        <v>21</v>
      </c>
      <c r="B2510" t="s">
        <v>54</v>
      </c>
      <c r="C2510" s="22">
        <v>46229</v>
      </c>
      <c r="D2510" s="23">
        <v>35447</v>
      </c>
    </row>
    <row r="2511" spans="1:4">
      <c r="A2511" t="s">
        <v>21</v>
      </c>
      <c r="B2511" t="s">
        <v>67</v>
      </c>
      <c r="C2511" s="22">
        <v>46229</v>
      </c>
      <c r="D2511" s="23">
        <v>46486</v>
      </c>
    </row>
    <row r="2512" spans="1:4">
      <c r="A2512" t="s">
        <v>21</v>
      </c>
      <c r="B2512" t="s">
        <v>174</v>
      </c>
      <c r="C2512" s="22">
        <v>46229</v>
      </c>
      <c r="D2512" s="23">
        <v>16782</v>
      </c>
    </row>
    <row r="2513" spans="1:4">
      <c r="A2513" t="s">
        <v>21</v>
      </c>
      <c r="B2513" t="s">
        <v>119</v>
      </c>
      <c r="C2513" s="22">
        <v>46229</v>
      </c>
      <c r="D2513" s="23">
        <v>47987</v>
      </c>
    </row>
    <row r="2514" spans="1:4">
      <c r="A2514" t="s">
        <v>27</v>
      </c>
      <c r="B2514" t="s">
        <v>177</v>
      </c>
      <c r="C2514" s="22">
        <v>46229</v>
      </c>
      <c r="D2514" s="23">
        <v>5200</v>
      </c>
    </row>
    <row r="2515" spans="1:4">
      <c r="A2515" t="s">
        <v>25</v>
      </c>
      <c r="B2515" t="s">
        <v>120</v>
      </c>
      <c r="C2515" s="22">
        <v>46229</v>
      </c>
      <c r="D2515" s="23">
        <v>18582</v>
      </c>
    </row>
    <row r="2516" spans="1:4">
      <c r="A2516" t="s">
        <v>23</v>
      </c>
      <c r="B2516" t="s">
        <v>187</v>
      </c>
      <c r="C2516" s="22">
        <v>46229</v>
      </c>
      <c r="D2516" s="23">
        <v>23233</v>
      </c>
    </row>
    <row r="2517" spans="1:4">
      <c r="A2517" t="s">
        <v>29</v>
      </c>
      <c r="B2517" t="s">
        <v>141</v>
      </c>
      <c r="C2517" s="22">
        <v>46229</v>
      </c>
      <c r="D2517" s="23">
        <v>16629</v>
      </c>
    </row>
    <row r="2518" spans="1:4">
      <c r="A2518" t="s">
        <v>22</v>
      </c>
      <c r="B2518" t="s">
        <v>259</v>
      </c>
      <c r="C2518" s="22">
        <v>46229</v>
      </c>
      <c r="D2518" s="23">
        <v>32328</v>
      </c>
    </row>
    <row r="2519" spans="1:4">
      <c r="A2519" t="s">
        <v>18</v>
      </c>
      <c r="B2519" t="s">
        <v>106</v>
      </c>
      <c r="C2519" s="22">
        <v>46229</v>
      </c>
      <c r="D2519" s="23">
        <v>39887</v>
      </c>
    </row>
    <row r="2520" spans="1:4">
      <c r="A2520" t="s">
        <v>18</v>
      </c>
      <c r="B2520" t="s">
        <v>93</v>
      </c>
      <c r="C2520" s="22">
        <v>46229</v>
      </c>
      <c r="D2520" s="23">
        <v>40303</v>
      </c>
    </row>
    <row r="2521" spans="1:4">
      <c r="A2521" t="s">
        <v>18</v>
      </c>
      <c r="B2521" t="s">
        <v>84</v>
      </c>
      <c r="C2521" s="22">
        <v>46229</v>
      </c>
      <c r="D2521" s="23">
        <v>23815</v>
      </c>
    </row>
    <row r="2522" spans="1:4">
      <c r="A2522" t="s">
        <v>18</v>
      </c>
      <c r="B2522" t="s">
        <v>192</v>
      </c>
      <c r="C2522" s="22">
        <v>46229</v>
      </c>
      <c r="D2522" s="23">
        <v>40525</v>
      </c>
    </row>
    <row r="2523" spans="1:4">
      <c r="A2523" t="s">
        <v>18</v>
      </c>
      <c r="B2523" t="s">
        <v>117</v>
      </c>
      <c r="C2523" s="22">
        <v>46229</v>
      </c>
      <c r="D2523" s="23">
        <v>52981</v>
      </c>
    </row>
    <row r="2524" spans="1:4">
      <c r="A2524" t="s">
        <v>18</v>
      </c>
      <c r="B2524" t="s">
        <v>108</v>
      </c>
      <c r="C2524" s="22">
        <v>46229</v>
      </c>
      <c r="D2524" s="23">
        <v>36823</v>
      </c>
    </row>
    <row r="2525" spans="1:4">
      <c r="A2525" t="s">
        <v>28</v>
      </c>
      <c r="B2525" t="s">
        <v>185</v>
      </c>
      <c r="C2525" s="22">
        <v>46230</v>
      </c>
      <c r="D2525" s="23">
        <v>5200</v>
      </c>
    </row>
    <row r="2526" spans="1:4">
      <c r="A2526" t="s">
        <v>21</v>
      </c>
      <c r="B2526" t="s">
        <v>110</v>
      </c>
      <c r="C2526" s="22">
        <v>46230</v>
      </c>
      <c r="D2526" s="23">
        <v>10674</v>
      </c>
    </row>
    <row r="2527" spans="1:4">
      <c r="A2527" t="s">
        <v>21</v>
      </c>
      <c r="B2527" t="s">
        <v>147</v>
      </c>
      <c r="C2527" s="22">
        <v>46230</v>
      </c>
      <c r="D2527" s="23">
        <v>13128</v>
      </c>
    </row>
    <row r="2528" spans="1:4">
      <c r="A2528" t="s">
        <v>21</v>
      </c>
      <c r="B2528" t="s">
        <v>282</v>
      </c>
      <c r="C2528" s="22">
        <v>46230</v>
      </c>
      <c r="D2528" s="23">
        <v>23705</v>
      </c>
    </row>
    <row r="2529" spans="1:4">
      <c r="A2529" t="s">
        <v>25</v>
      </c>
      <c r="B2529" t="s">
        <v>61</v>
      </c>
      <c r="C2529" s="22">
        <v>46230</v>
      </c>
      <c r="D2529" s="23">
        <v>13961</v>
      </c>
    </row>
    <row r="2530" spans="1:4">
      <c r="A2530" t="s">
        <v>23</v>
      </c>
      <c r="B2530" t="s">
        <v>78</v>
      </c>
      <c r="C2530" s="22">
        <v>46230</v>
      </c>
      <c r="D2530" s="23">
        <v>5239</v>
      </c>
    </row>
    <row r="2531" spans="1:4">
      <c r="A2531" t="s">
        <v>20</v>
      </c>
      <c r="B2531" t="s">
        <v>102</v>
      </c>
      <c r="C2531" s="22">
        <v>46230</v>
      </c>
      <c r="D2531" s="23">
        <v>37954</v>
      </c>
    </row>
    <row r="2532" spans="1:4">
      <c r="A2532" t="s">
        <v>18</v>
      </c>
      <c r="B2532" t="s">
        <v>64</v>
      </c>
      <c r="C2532" s="22">
        <v>46230</v>
      </c>
      <c r="D2532" s="23">
        <v>38243</v>
      </c>
    </row>
    <row r="2533" spans="1:4">
      <c r="A2533" t="s">
        <v>18</v>
      </c>
      <c r="B2533" t="s">
        <v>117</v>
      </c>
      <c r="C2533" s="22">
        <v>46230</v>
      </c>
      <c r="D2533" s="23">
        <v>56880</v>
      </c>
    </row>
    <row r="2534" spans="1:4">
      <c r="A2534" t="s">
        <v>18</v>
      </c>
      <c r="B2534" t="s">
        <v>57</v>
      </c>
      <c r="C2534" s="22">
        <v>46230</v>
      </c>
      <c r="D2534" s="23">
        <v>34125</v>
      </c>
    </row>
    <row r="2535" spans="1:4">
      <c r="A2535" t="s">
        <v>21</v>
      </c>
      <c r="B2535" t="s">
        <v>47</v>
      </c>
      <c r="C2535" s="22">
        <v>46231</v>
      </c>
      <c r="D2535" s="23">
        <v>36873</v>
      </c>
    </row>
    <row r="2536" spans="1:4">
      <c r="A2536" t="s">
        <v>21</v>
      </c>
      <c r="B2536" t="s">
        <v>237</v>
      </c>
      <c r="C2536" s="22">
        <v>46231</v>
      </c>
      <c r="D2536" s="23">
        <v>17898</v>
      </c>
    </row>
    <row r="2537" spans="1:4">
      <c r="A2537" t="s">
        <v>21</v>
      </c>
      <c r="B2537" t="s">
        <v>86</v>
      </c>
      <c r="C2537" s="22">
        <v>46231</v>
      </c>
      <c r="D2537" s="23">
        <v>33945</v>
      </c>
    </row>
    <row r="2538" spans="1:4">
      <c r="A2538" t="s">
        <v>26</v>
      </c>
      <c r="B2538" t="s">
        <v>210</v>
      </c>
      <c r="C2538" s="22">
        <v>46231</v>
      </c>
      <c r="D2538" s="23">
        <v>17773</v>
      </c>
    </row>
    <row r="2539" spans="1:4">
      <c r="A2539" t="s">
        <v>22</v>
      </c>
      <c r="B2539" t="s">
        <v>81</v>
      </c>
      <c r="C2539" s="22">
        <v>46231</v>
      </c>
      <c r="D2539" s="23">
        <v>30611</v>
      </c>
    </row>
    <row r="2540" spans="1:4">
      <c r="A2540" t="s">
        <v>22</v>
      </c>
      <c r="B2540" t="s">
        <v>135</v>
      </c>
      <c r="C2540" s="22">
        <v>46231</v>
      </c>
      <c r="D2540" s="23">
        <v>37999</v>
      </c>
    </row>
    <row r="2541" spans="1:4">
      <c r="A2541" t="s">
        <v>20</v>
      </c>
      <c r="B2541" t="s">
        <v>206</v>
      </c>
      <c r="C2541" s="22">
        <v>46231</v>
      </c>
      <c r="D2541" s="23">
        <v>37561</v>
      </c>
    </row>
    <row r="2542" spans="1:4">
      <c r="A2542" t="s">
        <v>20</v>
      </c>
      <c r="B2542" t="s">
        <v>103</v>
      </c>
      <c r="C2542" s="22">
        <v>46231</v>
      </c>
      <c r="D2542" s="23">
        <v>46235</v>
      </c>
    </row>
    <row r="2543" spans="1:4">
      <c r="A2543" t="s">
        <v>20</v>
      </c>
      <c r="B2543" t="s">
        <v>250</v>
      </c>
      <c r="C2543" s="22">
        <v>46231</v>
      </c>
      <c r="D2543" s="23">
        <v>27576</v>
      </c>
    </row>
    <row r="2544" spans="1:4">
      <c r="A2544" t="s">
        <v>20</v>
      </c>
      <c r="B2544" t="s">
        <v>214</v>
      </c>
      <c r="C2544" s="22">
        <v>46231</v>
      </c>
      <c r="D2544" s="23">
        <v>28155</v>
      </c>
    </row>
    <row r="2545" spans="1:4">
      <c r="A2545" t="s">
        <v>20</v>
      </c>
      <c r="B2545" t="s">
        <v>199</v>
      </c>
      <c r="C2545" s="22">
        <v>46231</v>
      </c>
      <c r="D2545" s="23">
        <v>43934</v>
      </c>
    </row>
    <row r="2546" spans="1:4">
      <c r="A2546" t="s">
        <v>18</v>
      </c>
      <c r="B2546" t="s">
        <v>66</v>
      </c>
      <c r="C2546" s="22">
        <v>46231</v>
      </c>
      <c r="D2546" s="23">
        <v>43704</v>
      </c>
    </row>
    <row r="2547" spans="1:4">
      <c r="A2547" t="s">
        <v>18</v>
      </c>
      <c r="B2547" t="s">
        <v>96</v>
      </c>
      <c r="C2547" s="22">
        <v>46231</v>
      </c>
      <c r="D2547" s="23">
        <v>50215</v>
      </c>
    </row>
    <row r="2548" spans="1:4">
      <c r="A2548" t="s">
        <v>18</v>
      </c>
      <c r="B2548" t="s">
        <v>69</v>
      </c>
      <c r="C2548" s="22">
        <v>46231</v>
      </c>
      <c r="D2548" s="23">
        <v>31363</v>
      </c>
    </row>
    <row r="2549" spans="1:4">
      <c r="A2549" t="s">
        <v>18</v>
      </c>
      <c r="B2549" t="s">
        <v>53</v>
      </c>
      <c r="C2549" s="22">
        <v>46231</v>
      </c>
      <c r="D2549" s="23">
        <v>37827</v>
      </c>
    </row>
    <row r="2550" spans="1:4">
      <c r="A2550" t="s">
        <v>18</v>
      </c>
      <c r="B2550" t="s">
        <v>71</v>
      </c>
      <c r="C2550" s="22">
        <v>46231</v>
      </c>
      <c r="D2550" s="23">
        <v>40374</v>
      </c>
    </row>
    <row r="2551" spans="1:4">
      <c r="A2551" t="s">
        <v>18</v>
      </c>
      <c r="B2551" t="s">
        <v>128</v>
      </c>
      <c r="C2551" s="22">
        <v>46231</v>
      </c>
      <c r="D2551" s="23">
        <v>44902</v>
      </c>
    </row>
    <row r="2552" spans="1:4">
      <c r="A2552" t="s">
        <v>28</v>
      </c>
      <c r="B2552" t="s">
        <v>218</v>
      </c>
      <c r="C2552" s="22">
        <v>46232</v>
      </c>
      <c r="D2552" s="23">
        <v>18238</v>
      </c>
    </row>
    <row r="2553" spans="1:4">
      <c r="A2553" t="s">
        <v>21</v>
      </c>
      <c r="B2553" t="s">
        <v>277</v>
      </c>
      <c r="C2553" s="22">
        <v>46232</v>
      </c>
      <c r="D2553" s="23">
        <v>31065</v>
      </c>
    </row>
    <row r="2554" spans="1:4">
      <c r="A2554" t="s">
        <v>21</v>
      </c>
      <c r="B2554" t="s">
        <v>91</v>
      </c>
      <c r="C2554" s="22">
        <v>46232</v>
      </c>
      <c r="D2554" s="23">
        <v>30545</v>
      </c>
    </row>
    <row r="2555" spans="1:4">
      <c r="A2555" t="s">
        <v>33</v>
      </c>
      <c r="B2555" t="s">
        <v>242</v>
      </c>
      <c r="C2555" s="22">
        <v>46232</v>
      </c>
      <c r="D2555" s="23">
        <v>13947</v>
      </c>
    </row>
    <row r="2556" spans="1:4">
      <c r="A2556" t="s">
        <v>27</v>
      </c>
      <c r="B2556" t="s">
        <v>166</v>
      </c>
      <c r="C2556" s="22">
        <v>46232</v>
      </c>
      <c r="D2556" s="23">
        <v>16060</v>
      </c>
    </row>
    <row r="2557" spans="1:4">
      <c r="A2557" t="s">
        <v>23</v>
      </c>
      <c r="B2557" t="s">
        <v>182</v>
      </c>
      <c r="C2557" s="22">
        <v>46232</v>
      </c>
      <c r="D2557" s="23">
        <v>23884</v>
      </c>
    </row>
    <row r="2558" spans="1:4">
      <c r="A2558" t="s">
        <v>20</v>
      </c>
      <c r="B2558" t="s">
        <v>127</v>
      </c>
      <c r="C2558" s="22">
        <v>46232</v>
      </c>
      <c r="D2558" s="23">
        <v>29233</v>
      </c>
    </row>
    <row r="2559" spans="1:4">
      <c r="A2559" t="s">
        <v>18</v>
      </c>
      <c r="B2559" t="s">
        <v>118</v>
      </c>
      <c r="C2559" s="22">
        <v>46232</v>
      </c>
      <c r="D2559" s="23">
        <v>46308</v>
      </c>
    </row>
    <row r="2560" spans="1:4">
      <c r="A2560" t="s">
        <v>21</v>
      </c>
      <c r="B2560" t="s">
        <v>131</v>
      </c>
      <c r="C2560" s="22">
        <v>46233</v>
      </c>
      <c r="D2560" s="23">
        <v>20043</v>
      </c>
    </row>
    <row r="2561" spans="1:4">
      <c r="A2561" t="s">
        <v>26</v>
      </c>
      <c r="B2561" t="s">
        <v>278</v>
      </c>
      <c r="C2561" s="22">
        <v>46233</v>
      </c>
      <c r="D2561" s="23">
        <v>19058</v>
      </c>
    </row>
    <row r="2562" spans="1:4">
      <c r="A2562" t="s">
        <v>25</v>
      </c>
      <c r="B2562" t="s">
        <v>76</v>
      </c>
      <c r="C2562" s="22">
        <v>46233</v>
      </c>
      <c r="D2562" s="23">
        <v>17933</v>
      </c>
    </row>
    <row r="2563" spans="1:4">
      <c r="A2563" t="s">
        <v>36</v>
      </c>
      <c r="B2563" t="s">
        <v>121</v>
      </c>
      <c r="C2563" s="22">
        <v>46233</v>
      </c>
      <c r="D2563" s="23">
        <v>13071</v>
      </c>
    </row>
    <row r="2564" spans="1:4">
      <c r="A2564" t="s">
        <v>29</v>
      </c>
      <c r="B2564" t="s">
        <v>142</v>
      </c>
      <c r="C2564" s="22">
        <v>46233</v>
      </c>
      <c r="D2564" s="23">
        <v>14170</v>
      </c>
    </row>
    <row r="2565" spans="1:4">
      <c r="A2565" t="s">
        <v>22</v>
      </c>
      <c r="B2565" t="s">
        <v>268</v>
      </c>
      <c r="C2565" s="22">
        <v>46233</v>
      </c>
      <c r="D2565" s="23">
        <v>29462</v>
      </c>
    </row>
    <row r="2566" spans="1:4">
      <c r="A2566" t="s">
        <v>22</v>
      </c>
      <c r="B2566" t="s">
        <v>271</v>
      </c>
      <c r="C2566" s="22">
        <v>46233</v>
      </c>
      <c r="D2566" s="23">
        <v>27394</v>
      </c>
    </row>
    <row r="2567" spans="1:4">
      <c r="A2567" t="s">
        <v>20</v>
      </c>
      <c r="B2567" t="s">
        <v>206</v>
      </c>
      <c r="C2567" s="22">
        <v>46233</v>
      </c>
      <c r="D2567" s="23">
        <v>33623</v>
      </c>
    </row>
    <row r="2568" spans="1:4">
      <c r="A2568" t="s">
        <v>20</v>
      </c>
      <c r="B2568" t="s">
        <v>136</v>
      </c>
      <c r="C2568" s="22">
        <v>46233</v>
      </c>
      <c r="D2568" s="23">
        <v>33514</v>
      </c>
    </row>
    <row r="2569" spans="1:4">
      <c r="A2569" t="s">
        <v>20</v>
      </c>
      <c r="B2569" t="s">
        <v>158</v>
      </c>
      <c r="C2569" s="22">
        <v>46233</v>
      </c>
      <c r="D2569" s="23">
        <v>27791</v>
      </c>
    </row>
    <row r="2570" spans="1:4">
      <c r="A2570" t="s">
        <v>20</v>
      </c>
      <c r="B2570" t="s">
        <v>250</v>
      </c>
      <c r="C2570" s="22">
        <v>46233</v>
      </c>
      <c r="D2570" s="23">
        <v>25780</v>
      </c>
    </row>
    <row r="2571" spans="1:4">
      <c r="A2571" t="s">
        <v>20</v>
      </c>
      <c r="B2571" t="s">
        <v>230</v>
      </c>
      <c r="C2571" s="22">
        <v>46233</v>
      </c>
      <c r="D2571" s="23">
        <v>44928</v>
      </c>
    </row>
    <row r="2572" spans="1:4">
      <c r="A2572" t="s">
        <v>18</v>
      </c>
      <c r="B2572" t="s">
        <v>66</v>
      </c>
      <c r="C2572" s="22">
        <v>46233</v>
      </c>
      <c r="D2572" s="23">
        <v>38973</v>
      </c>
    </row>
    <row r="2573" spans="1:4">
      <c r="A2573" t="s">
        <v>18</v>
      </c>
      <c r="B2573" t="s">
        <v>92</v>
      </c>
      <c r="C2573" s="22">
        <v>46233</v>
      </c>
      <c r="D2573" s="23">
        <v>54978</v>
      </c>
    </row>
    <row r="2574" spans="1:4">
      <c r="A2574" t="s">
        <v>18</v>
      </c>
      <c r="B2574" t="s">
        <v>59</v>
      </c>
      <c r="C2574" s="22">
        <v>46233</v>
      </c>
      <c r="D2574" s="23">
        <v>46866</v>
      </c>
    </row>
    <row r="2575" spans="1:4">
      <c r="A2575" t="s">
        <v>18</v>
      </c>
      <c r="B2575" t="s">
        <v>85</v>
      </c>
      <c r="C2575" s="22">
        <v>46233</v>
      </c>
      <c r="D2575" s="23">
        <v>40934</v>
      </c>
    </row>
    <row r="2576" spans="1:4">
      <c r="A2576" t="s">
        <v>18</v>
      </c>
      <c r="B2576" t="s">
        <v>129</v>
      </c>
      <c r="C2576" s="22">
        <v>46233</v>
      </c>
      <c r="D2576" s="23">
        <v>32969</v>
      </c>
    </row>
    <row r="2577" spans="1:4">
      <c r="A2577" t="s">
        <v>26</v>
      </c>
      <c r="B2577" t="s">
        <v>99</v>
      </c>
      <c r="C2577" s="22">
        <v>46234</v>
      </c>
      <c r="D2577" s="23">
        <v>28213</v>
      </c>
    </row>
    <row r="2578" spans="1:4">
      <c r="A2578" t="s">
        <v>26</v>
      </c>
      <c r="B2578" t="s">
        <v>263</v>
      </c>
      <c r="C2578" s="22">
        <v>46234</v>
      </c>
      <c r="D2578" s="23">
        <v>13178</v>
      </c>
    </row>
    <row r="2579" spans="1:4">
      <c r="A2579" t="s">
        <v>23</v>
      </c>
      <c r="B2579" t="s">
        <v>233</v>
      </c>
      <c r="C2579" s="22">
        <v>46234</v>
      </c>
      <c r="D2579" s="23">
        <v>23265</v>
      </c>
    </row>
    <row r="2580" spans="1:4">
      <c r="A2580" t="s">
        <v>23</v>
      </c>
      <c r="B2580" t="s">
        <v>63</v>
      </c>
      <c r="C2580" s="22">
        <v>46234</v>
      </c>
      <c r="D2580" s="23">
        <v>17770</v>
      </c>
    </row>
    <row r="2581" spans="1:4">
      <c r="A2581" t="s">
        <v>22</v>
      </c>
      <c r="B2581" t="s">
        <v>125</v>
      </c>
      <c r="C2581" s="22">
        <v>46234</v>
      </c>
      <c r="D2581" s="23">
        <v>34122</v>
      </c>
    </row>
    <row r="2582" spans="1:4">
      <c r="A2582" t="s">
        <v>20</v>
      </c>
      <c r="B2582" t="s">
        <v>161</v>
      </c>
      <c r="C2582" s="22">
        <v>46234</v>
      </c>
      <c r="D2582" s="23">
        <v>32030</v>
      </c>
    </row>
    <row r="2583" spans="1:4">
      <c r="A2583" t="s">
        <v>18</v>
      </c>
      <c r="B2583" t="s">
        <v>55</v>
      </c>
      <c r="C2583" s="22">
        <v>46234</v>
      </c>
      <c r="D2583" s="23">
        <v>42209</v>
      </c>
    </row>
    <row r="2584" spans="1:4">
      <c r="A2584" t="s">
        <v>18</v>
      </c>
      <c r="B2584" t="s">
        <v>190</v>
      </c>
      <c r="C2584" s="22">
        <v>46234</v>
      </c>
      <c r="D2584" s="23">
        <v>37971</v>
      </c>
    </row>
    <row r="2585" spans="1:4">
      <c r="A2585" t="s">
        <v>18</v>
      </c>
      <c r="B2585" t="s">
        <v>117</v>
      </c>
      <c r="C2585" s="22">
        <v>46234</v>
      </c>
      <c r="D2585" s="23">
        <v>35005</v>
      </c>
    </row>
    <row r="2586" spans="1:4">
      <c r="A2586" t="s">
        <v>18</v>
      </c>
      <c r="B2586" t="s">
        <v>159</v>
      </c>
      <c r="C2586" s="22">
        <v>46234</v>
      </c>
      <c r="D2586" s="23">
        <v>53691</v>
      </c>
    </row>
    <row r="2587" spans="1:4">
      <c r="A2587" t="s">
        <v>18</v>
      </c>
      <c r="B2587" t="s">
        <v>72</v>
      </c>
      <c r="C2587" s="22">
        <v>46234</v>
      </c>
      <c r="D2587" s="23">
        <v>59037</v>
      </c>
    </row>
    <row r="2588" spans="1:4">
      <c r="A2588" t="s">
        <v>31</v>
      </c>
      <c r="B2588" t="s">
        <v>49</v>
      </c>
      <c r="C2588" s="22">
        <v>46235</v>
      </c>
      <c r="D2588" s="23">
        <v>14684</v>
      </c>
    </row>
    <row r="2589" spans="1:4">
      <c r="A2589" t="s">
        <v>27</v>
      </c>
      <c r="B2589" t="s">
        <v>100</v>
      </c>
      <c r="C2589" s="22">
        <v>46235</v>
      </c>
      <c r="D2589" s="23">
        <v>19258</v>
      </c>
    </row>
    <row r="2590" spans="1:4">
      <c r="A2590" t="s">
        <v>23</v>
      </c>
      <c r="B2590" t="s">
        <v>114</v>
      </c>
      <c r="C2590" s="22">
        <v>46235</v>
      </c>
      <c r="D2590" s="23">
        <v>21870</v>
      </c>
    </row>
    <row r="2591" spans="1:4">
      <c r="A2591" t="s">
        <v>20</v>
      </c>
      <c r="B2591" t="s">
        <v>53</v>
      </c>
      <c r="C2591" s="22">
        <v>46235</v>
      </c>
      <c r="D2591" s="23">
        <v>34990</v>
      </c>
    </row>
    <row r="2592" spans="1:4">
      <c r="A2592" t="s">
        <v>20</v>
      </c>
      <c r="B2592" t="s">
        <v>104</v>
      </c>
      <c r="C2592" s="22">
        <v>46235</v>
      </c>
      <c r="D2592" s="23">
        <v>30848</v>
      </c>
    </row>
    <row r="2593" spans="1:4">
      <c r="A2593" t="s">
        <v>20</v>
      </c>
      <c r="B2593" t="s">
        <v>138</v>
      </c>
      <c r="C2593" s="22">
        <v>46235</v>
      </c>
      <c r="D2593" s="23">
        <v>42024</v>
      </c>
    </row>
    <row r="2594" spans="1:4">
      <c r="A2594" t="s">
        <v>18</v>
      </c>
      <c r="B2594" t="s">
        <v>92</v>
      </c>
      <c r="C2594" s="22">
        <v>46235</v>
      </c>
      <c r="D2594" s="23">
        <v>49765</v>
      </c>
    </row>
    <row r="2595" spans="1:4">
      <c r="A2595" t="s">
        <v>18</v>
      </c>
      <c r="B2595" t="s">
        <v>95</v>
      </c>
      <c r="C2595" s="22">
        <v>46235</v>
      </c>
      <c r="D2595" s="23">
        <v>49785</v>
      </c>
    </row>
    <row r="2596" spans="1:4">
      <c r="A2596" t="s">
        <v>18</v>
      </c>
      <c r="B2596" t="s">
        <v>96</v>
      </c>
      <c r="C2596" s="22">
        <v>46235</v>
      </c>
      <c r="D2596" s="23">
        <v>40940</v>
      </c>
    </row>
    <row r="2597" spans="1:4">
      <c r="A2597" t="s">
        <v>18</v>
      </c>
      <c r="B2597" t="s">
        <v>129</v>
      </c>
      <c r="C2597" s="22">
        <v>46235</v>
      </c>
      <c r="D2597" s="23">
        <v>41928</v>
      </c>
    </row>
    <row r="2598" spans="1:4">
      <c r="A2598" t="s">
        <v>18</v>
      </c>
      <c r="B2598" t="s">
        <v>86</v>
      </c>
      <c r="C2598" s="22">
        <v>46235</v>
      </c>
      <c r="D2598" s="23">
        <v>36191</v>
      </c>
    </row>
    <row r="2599" spans="1:4">
      <c r="A2599" t="s">
        <v>21</v>
      </c>
      <c r="B2599" t="s">
        <v>190</v>
      </c>
      <c r="C2599" s="22">
        <v>46236</v>
      </c>
      <c r="D2599" s="23">
        <v>37201</v>
      </c>
    </row>
    <row r="2600" spans="1:4">
      <c r="A2600" t="s">
        <v>21</v>
      </c>
      <c r="B2600" t="s">
        <v>148</v>
      </c>
      <c r="C2600" s="22">
        <v>46236</v>
      </c>
      <c r="D2600" s="23">
        <v>50292</v>
      </c>
    </row>
    <row r="2601" spans="1:4">
      <c r="A2601" t="s">
        <v>21</v>
      </c>
      <c r="B2601" t="s">
        <v>130</v>
      </c>
      <c r="C2601" s="22">
        <v>46236</v>
      </c>
      <c r="D2601" s="23">
        <v>12476</v>
      </c>
    </row>
    <row r="2602" spans="1:4">
      <c r="A2602" t="s">
        <v>27</v>
      </c>
      <c r="B2602" t="s">
        <v>243</v>
      </c>
      <c r="C2602" s="22">
        <v>46236</v>
      </c>
      <c r="D2602" s="23">
        <v>25972</v>
      </c>
    </row>
    <row r="2603" spans="1:4">
      <c r="A2603" t="s">
        <v>23</v>
      </c>
      <c r="B2603" t="s">
        <v>204</v>
      </c>
      <c r="C2603" s="22">
        <v>46236</v>
      </c>
      <c r="D2603" s="23">
        <v>24873</v>
      </c>
    </row>
    <row r="2604" spans="1:4">
      <c r="A2604" t="s">
        <v>22</v>
      </c>
      <c r="B2604" t="s">
        <v>238</v>
      </c>
      <c r="C2604" s="22">
        <v>46236</v>
      </c>
      <c r="D2604" s="23">
        <v>25178</v>
      </c>
    </row>
    <row r="2605" spans="1:4">
      <c r="A2605" t="s">
        <v>20</v>
      </c>
      <c r="B2605" t="s">
        <v>89</v>
      </c>
      <c r="C2605" s="22">
        <v>46236</v>
      </c>
      <c r="D2605" s="23">
        <v>40293</v>
      </c>
    </row>
    <row r="2606" spans="1:4">
      <c r="A2606" t="s">
        <v>20</v>
      </c>
      <c r="B2606" t="s">
        <v>59</v>
      </c>
      <c r="C2606" s="22">
        <v>46236</v>
      </c>
      <c r="D2606" s="23">
        <v>50088</v>
      </c>
    </row>
    <row r="2607" spans="1:4">
      <c r="A2607" t="s">
        <v>20</v>
      </c>
      <c r="B2607" t="s">
        <v>162</v>
      </c>
      <c r="C2607" s="22">
        <v>46236</v>
      </c>
      <c r="D2607" s="23">
        <v>33888</v>
      </c>
    </row>
    <row r="2608" spans="1:4">
      <c r="A2608" t="s">
        <v>18</v>
      </c>
      <c r="B2608" t="s">
        <v>64</v>
      </c>
      <c r="C2608" s="22">
        <v>46236</v>
      </c>
      <c r="D2608" s="23">
        <v>45417</v>
      </c>
    </row>
    <row r="2609" spans="1:4">
      <c r="A2609" t="s">
        <v>18</v>
      </c>
      <c r="B2609" t="s">
        <v>94</v>
      </c>
      <c r="C2609" s="22">
        <v>46236</v>
      </c>
      <c r="D2609" s="23">
        <v>52954</v>
      </c>
    </row>
    <row r="2610" spans="1:4">
      <c r="A2610" t="s">
        <v>18</v>
      </c>
      <c r="B2610" t="s">
        <v>69</v>
      </c>
      <c r="C2610" s="22">
        <v>46236</v>
      </c>
      <c r="D2610" s="23">
        <v>27816</v>
      </c>
    </row>
    <row r="2611" spans="1:4">
      <c r="A2611" t="s">
        <v>28</v>
      </c>
      <c r="B2611" t="s">
        <v>225</v>
      </c>
      <c r="C2611" s="22">
        <v>46237</v>
      </c>
      <c r="D2611" s="23">
        <v>14959</v>
      </c>
    </row>
    <row r="2612" spans="1:4">
      <c r="A2612" t="s">
        <v>21</v>
      </c>
      <c r="B2612" t="s">
        <v>219</v>
      </c>
      <c r="C2612" s="22">
        <v>46237</v>
      </c>
      <c r="D2612" s="23">
        <v>30082</v>
      </c>
    </row>
    <row r="2613" spans="1:4">
      <c r="A2613" t="s">
        <v>27</v>
      </c>
      <c r="B2613" t="s">
        <v>266</v>
      </c>
      <c r="C2613" s="22">
        <v>46237</v>
      </c>
      <c r="D2613" s="23">
        <v>5200</v>
      </c>
    </row>
    <row r="2614" spans="1:4">
      <c r="A2614" t="s">
        <v>25</v>
      </c>
      <c r="B2614" t="s">
        <v>267</v>
      </c>
      <c r="C2614" s="22">
        <v>46237</v>
      </c>
      <c r="D2614" s="23">
        <v>25429</v>
      </c>
    </row>
    <row r="2615" spans="1:4">
      <c r="A2615" t="s">
        <v>34</v>
      </c>
      <c r="B2615" t="s">
        <v>281</v>
      </c>
      <c r="C2615" s="22">
        <v>46237</v>
      </c>
      <c r="D2615" s="23">
        <v>20776</v>
      </c>
    </row>
    <row r="2616" spans="1:4">
      <c r="A2616" t="s">
        <v>23</v>
      </c>
      <c r="B2616" t="s">
        <v>264</v>
      </c>
      <c r="C2616" s="22">
        <v>46237</v>
      </c>
      <c r="D2616" s="23">
        <v>25258</v>
      </c>
    </row>
    <row r="2617" spans="1:4">
      <c r="A2617" t="s">
        <v>20</v>
      </c>
      <c r="B2617" t="s">
        <v>239</v>
      </c>
      <c r="C2617" s="22">
        <v>46237</v>
      </c>
      <c r="D2617" s="23">
        <v>26565</v>
      </c>
    </row>
    <row r="2618" spans="1:4">
      <c r="A2618" t="s">
        <v>20</v>
      </c>
      <c r="B2618" t="s">
        <v>272</v>
      </c>
      <c r="C2618" s="22">
        <v>46237</v>
      </c>
      <c r="D2618" s="23">
        <v>33795</v>
      </c>
    </row>
    <row r="2619" spans="1:4">
      <c r="A2619" t="s">
        <v>20</v>
      </c>
      <c r="B2619" t="s">
        <v>102</v>
      </c>
      <c r="C2619" s="22">
        <v>46237</v>
      </c>
      <c r="D2619" s="23">
        <v>24781</v>
      </c>
    </row>
    <row r="2620" spans="1:4">
      <c r="A2620" t="s">
        <v>18</v>
      </c>
      <c r="B2620" t="s">
        <v>259</v>
      </c>
      <c r="C2620" s="22">
        <v>46237</v>
      </c>
      <c r="D2620" s="23">
        <v>38535</v>
      </c>
    </row>
    <row r="2621" spans="1:4">
      <c r="A2621" t="s">
        <v>18</v>
      </c>
      <c r="B2621" t="s">
        <v>67</v>
      </c>
      <c r="C2621" s="22">
        <v>46237</v>
      </c>
      <c r="D2621" s="23">
        <v>38323</v>
      </c>
    </row>
    <row r="2622" spans="1:4">
      <c r="A2622" t="s">
        <v>18</v>
      </c>
      <c r="B2622" t="s">
        <v>173</v>
      </c>
      <c r="C2622" s="22">
        <v>46237</v>
      </c>
      <c r="D2622" s="23">
        <v>31061</v>
      </c>
    </row>
    <row r="2623" spans="1:4">
      <c r="A2623" t="s">
        <v>18</v>
      </c>
      <c r="B2623" t="s">
        <v>107</v>
      </c>
      <c r="C2623" s="22">
        <v>46237</v>
      </c>
      <c r="D2623" s="23">
        <v>35939</v>
      </c>
    </row>
    <row r="2624" spans="1:4">
      <c r="A2624" t="s">
        <v>33</v>
      </c>
      <c r="B2624" t="s">
        <v>51</v>
      </c>
      <c r="C2624" s="22">
        <v>46238</v>
      </c>
      <c r="D2624" s="23">
        <v>5200</v>
      </c>
    </row>
    <row r="2625" spans="1:4">
      <c r="A2625" t="s">
        <v>26</v>
      </c>
      <c r="B2625" t="s">
        <v>99</v>
      </c>
      <c r="C2625" s="22">
        <v>46238</v>
      </c>
      <c r="D2625" s="23">
        <v>5200</v>
      </c>
    </row>
    <row r="2626" spans="1:4">
      <c r="A2626" t="s">
        <v>27</v>
      </c>
      <c r="B2626" t="s">
        <v>279</v>
      </c>
      <c r="C2626" s="22">
        <v>46238</v>
      </c>
      <c r="D2626" s="23">
        <v>21743</v>
      </c>
    </row>
    <row r="2627" spans="1:4">
      <c r="A2627" t="s">
        <v>22</v>
      </c>
      <c r="B2627" t="s">
        <v>167</v>
      </c>
      <c r="C2627" s="22">
        <v>46238</v>
      </c>
      <c r="D2627" s="23">
        <v>23844</v>
      </c>
    </row>
    <row r="2628" spans="1:4">
      <c r="A2628" t="s">
        <v>20</v>
      </c>
      <c r="B2628" t="s">
        <v>207</v>
      </c>
      <c r="C2628" s="22">
        <v>46238</v>
      </c>
      <c r="D2628" s="23">
        <v>35732</v>
      </c>
    </row>
    <row r="2629" spans="1:4">
      <c r="A2629" t="s">
        <v>20</v>
      </c>
      <c r="B2629" t="s">
        <v>272</v>
      </c>
      <c r="C2629" s="22">
        <v>46238</v>
      </c>
      <c r="D2629" s="23">
        <v>29454</v>
      </c>
    </row>
    <row r="2630" spans="1:4">
      <c r="A2630" t="s">
        <v>21</v>
      </c>
      <c r="B2630" t="s">
        <v>163</v>
      </c>
      <c r="C2630" s="22">
        <v>46239</v>
      </c>
      <c r="D2630" s="23">
        <v>23097</v>
      </c>
    </row>
    <row r="2631" spans="1:4">
      <c r="A2631" t="s">
        <v>21</v>
      </c>
      <c r="B2631" t="s">
        <v>127</v>
      </c>
      <c r="C2631" s="22">
        <v>46239</v>
      </c>
      <c r="D2631" s="23">
        <v>32704</v>
      </c>
    </row>
    <row r="2632" spans="1:4">
      <c r="A2632" t="s">
        <v>33</v>
      </c>
      <c r="B2632" t="s">
        <v>241</v>
      </c>
      <c r="C2632" s="22">
        <v>46239</v>
      </c>
      <c r="D2632" s="23">
        <v>10158</v>
      </c>
    </row>
    <row r="2633" spans="1:4">
      <c r="A2633" t="s">
        <v>25</v>
      </c>
      <c r="B2633" t="s">
        <v>275</v>
      </c>
      <c r="C2633" s="22">
        <v>46239</v>
      </c>
      <c r="D2633" s="23">
        <v>5835</v>
      </c>
    </row>
    <row r="2634" spans="1:4">
      <c r="A2634" t="s">
        <v>20</v>
      </c>
      <c r="B2634" t="s">
        <v>272</v>
      </c>
      <c r="C2634" s="22">
        <v>46239</v>
      </c>
      <c r="D2634" s="23">
        <v>28877</v>
      </c>
    </row>
    <row r="2635" spans="1:4">
      <c r="A2635" t="s">
        <v>20</v>
      </c>
      <c r="B2635" t="s">
        <v>89</v>
      </c>
      <c r="C2635" s="22">
        <v>46239</v>
      </c>
      <c r="D2635" s="23">
        <v>24587</v>
      </c>
    </row>
    <row r="2636" spans="1:4">
      <c r="A2636" t="s">
        <v>20</v>
      </c>
      <c r="B2636" t="s">
        <v>158</v>
      </c>
      <c r="C2636" s="22">
        <v>46239</v>
      </c>
      <c r="D2636" s="23">
        <v>33360</v>
      </c>
    </row>
    <row r="2637" spans="1:4">
      <c r="A2637" t="s">
        <v>18</v>
      </c>
      <c r="B2637" t="s">
        <v>64</v>
      </c>
      <c r="C2637" s="22">
        <v>46239</v>
      </c>
      <c r="D2637" s="23">
        <v>53169</v>
      </c>
    </row>
    <row r="2638" spans="1:4">
      <c r="A2638" t="s">
        <v>18</v>
      </c>
      <c r="B2638" t="s">
        <v>95</v>
      </c>
      <c r="C2638" s="22">
        <v>46239</v>
      </c>
      <c r="D2638" s="23">
        <v>59969</v>
      </c>
    </row>
    <row r="2639" spans="1:4">
      <c r="A2639" t="s">
        <v>18</v>
      </c>
      <c r="B2639" t="s">
        <v>96</v>
      </c>
      <c r="C2639" s="22">
        <v>46239</v>
      </c>
      <c r="D2639" s="23">
        <v>50258</v>
      </c>
    </row>
    <row r="2640" spans="1:4">
      <c r="A2640" t="s">
        <v>18</v>
      </c>
      <c r="B2640" t="s">
        <v>208</v>
      </c>
      <c r="C2640" s="22">
        <v>46239</v>
      </c>
      <c r="D2640" s="23">
        <v>48337</v>
      </c>
    </row>
    <row r="2641" spans="1:4">
      <c r="A2641" t="s">
        <v>18</v>
      </c>
      <c r="B2641" t="s">
        <v>71</v>
      </c>
      <c r="C2641" s="22">
        <v>46239</v>
      </c>
      <c r="D2641" s="23">
        <v>41232</v>
      </c>
    </row>
    <row r="2642" spans="1:4">
      <c r="A2642" t="s">
        <v>18</v>
      </c>
      <c r="B2642" t="s">
        <v>97</v>
      </c>
      <c r="C2642" s="22">
        <v>46239</v>
      </c>
      <c r="D2642" s="23">
        <v>53422</v>
      </c>
    </row>
    <row r="2643" spans="1:4">
      <c r="A2643" t="s">
        <v>21</v>
      </c>
      <c r="B2643" t="s">
        <v>87</v>
      </c>
      <c r="C2643" s="22">
        <v>46240</v>
      </c>
      <c r="D2643" s="23">
        <v>28752</v>
      </c>
    </row>
    <row r="2644" spans="1:4">
      <c r="A2644" t="s">
        <v>26</v>
      </c>
      <c r="B2644" t="s">
        <v>109</v>
      </c>
      <c r="C2644" s="22">
        <v>46240</v>
      </c>
      <c r="D2644" s="23">
        <v>18104</v>
      </c>
    </row>
    <row r="2645" spans="1:4">
      <c r="A2645" t="s">
        <v>23</v>
      </c>
      <c r="B2645" t="s">
        <v>187</v>
      </c>
      <c r="C2645" s="22">
        <v>46240</v>
      </c>
      <c r="D2645" s="23">
        <v>22175</v>
      </c>
    </row>
    <row r="2646" spans="1:4">
      <c r="A2646" t="s">
        <v>23</v>
      </c>
      <c r="B2646" t="s">
        <v>65</v>
      </c>
      <c r="C2646" s="22">
        <v>46240</v>
      </c>
      <c r="D2646" s="23">
        <v>44616</v>
      </c>
    </row>
    <row r="2647" spans="1:4">
      <c r="A2647" t="s">
        <v>23</v>
      </c>
      <c r="B2647" t="s">
        <v>78</v>
      </c>
      <c r="C2647" s="22">
        <v>46240</v>
      </c>
      <c r="D2647" s="23">
        <v>6000</v>
      </c>
    </row>
    <row r="2648" spans="1:4">
      <c r="A2648" t="s">
        <v>22</v>
      </c>
      <c r="B2648" t="s">
        <v>137</v>
      </c>
      <c r="C2648" s="22">
        <v>46240</v>
      </c>
      <c r="D2648" s="23">
        <v>5987</v>
      </c>
    </row>
    <row r="2649" spans="1:4">
      <c r="A2649" t="s">
        <v>18</v>
      </c>
      <c r="B2649" t="s">
        <v>59</v>
      </c>
      <c r="C2649" s="22">
        <v>46240</v>
      </c>
      <c r="D2649" s="23">
        <v>43718</v>
      </c>
    </row>
    <row r="2650" spans="1:4">
      <c r="A2650" t="s">
        <v>18</v>
      </c>
      <c r="B2650" t="s">
        <v>84</v>
      </c>
      <c r="C2650" s="22">
        <v>46240</v>
      </c>
      <c r="D2650" s="23">
        <v>33077</v>
      </c>
    </row>
    <row r="2651" spans="1:4">
      <c r="A2651" t="s">
        <v>18</v>
      </c>
      <c r="B2651" t="s">
        <v>95</v>
      </c>
      <c r="C2651" s="22">
        <v>46240</v>
      </c>
      <c r="D2651" s="23">
        <v>48503</v>
      </c>
    </row>
    <row r="2652" spans="1:4">
      <c r="A2652" t="s">
        <v>18</v>
      </c>
      <c r="B2652" t="s">
        <v>118</v>
      </c>
      <c r="C2652" s="22">
        <v>46240</v>
      </c>
      <c r="D2652" s="23">
        <v>40017</v>
      </c>
    </row>
    <row r="2653" spans="1:4">
      <c r="A2653" t="s">
        <v>18</v>
      </c>
      <c r="B2653" t="s">
        <v>107</v>
      </c>
      <c r="C2653" s="22">
        <v>46240</v>
      </c>
      <c r="D2653" s="23">
        <v>35994</v>
      </c>
    </row>
    <row r="2654" spans="1:4">
      <c r="A2654" t="s">
        <v>21</v>
      </c>
      <c r="B2654" t="s">
        <v>246</v>
      </c>
      <c r="C2654" s="22">
        <v>46241</v>
      </c>
      <c r="D2654" s="23">
        <v>29952</v>
      </c>
    </row>
    <row r="2655" spans="1:4">
      <c r="A2655" t="s">
        <v>21</v>
      </c>
      <c r="B2655" t="s">
        <v>237</v>
      </c>
      <c r="C2655" s="22">
        <v>46241</v>
      </c>
      <c r="D2655" s="23">
        <v>19962</v>
      </c>
    </row>
    <row r="2656" spans="1:4">
      <c r="A2656" t="s">
        <v>22</v>
      </c>
      <c r="B2656" t="s">
        <v>248</v>
      </c>
      <c r="C2656" s="22">
        <v>46241</v>
      </c>
      <c r="D2656" s="23">
        <v>31701</v>
      </c>
    </row>
    <row r="2657" spans="1:4">
      <c r="A2657" t="s">
        <v>20</v>
      </c>
      <c r="B2657" t="s">
        <v>230</v>
      </c>
      <c r="C2657" s="22">
        <v>46241</v>
      </c>
      <c r="D2657" s="23">
        <v>36482</v>
      </c>
    </row>
    <row r="2658" spans="1:4">
      <c r="A2658" t="s">
        <v>18</v>
      </c>
      <c r="B2658" t="s">
        <v>105</v>
      </c>
      <c r="C2658" s="22">
        <v>46241</v>
      </c>
      <c r="D2658" s="23">
        <v>22199</v>
      </c>
    </row>
    <row r="2659" spans="1:4">
      <c r="A2659" t="s">
        <v>27</v>
      </c>
      <c r="B2659" t="s">
        <v>155</v>
      </c>
      <c r="C2659" s="22">
        <v>46242</v>
      </c>
      <c r="D2659" s="23">
        <v>17347</v>
      </c>
    </row>
    <row r="2660" spans="1:4">
      <c r="A2660" t="s">
        <v>23</v>
      </c>
      <c r="B2660" t="s">
        <v>274</v>
      </c>
      <c r="C2660" s="22">
        <v>46242</v>
      </c>
      <c r="D2660" s="23">
        <v>19460</v>
      </c>
    </row>
    <row r="2661" spans="1:4">
      <c r="A2661" t="s">
        <v>23</v>
      </c>
      <c r="B2661" t="s">
        <v>258</v>
      </c>
      <c r="C2661" s="22">
        <v>46242</v>
      </c>
      <c r="D2661" s="23">
        <v>17188</v>
      </c>
    </row>
    <row r="2662" spans="1:4">
      <c r="A2662" t="s">
        <v>22</v>
      </c>
      <c r="B2662" t="s">
        <v>98</v>
      </c>
      <c r="C2662" s="22">
        <v>46242</v>
      </c>
      <c r="D2662" s="23">
        <v>38184</v>
      </c>
    </row>
    <row r="2663" spans="1:4">
      <c r="A2663" t="s">
        <v>22</v>
      </c>
      <c r="B2663" t="s">
        <v>280</v>
      </c>
      <c r="C2663" s="22">
        <v>46242</v>
      </c>
      <c r="D2663" s="23">
        <v>27292</v>
      </c>
    </row>
    <row r="2664" spans="1:4">
      <c r="A2664" t="s">
        <v>18</v>
      </c>
      <c r="B2664" t="s">
        <v>55</v>
      </c>
      <c r="C2664" s="22">
        <v>46242</v>
      </c>
      <c r="D2664" s="23">
        <v>37432</v>
      </c>
    </row>
    <row r="2665" spans="1:4">
      <c r="A2665" t="s">
        <v>18</v>
      </c>
      <c r="B2665" t="s">
        <v>67</v>
      </c>
      <c r="C2665" s="22">
        <v>46242</v>
      </c>
      <c r="D2665" s="23">
        <v>42000</v>
      </c>
    </row>
    <row r="2666" spans="1:4">
      <c r="A2666" t="s">
        <v>18</v>
      </c>
      <c r="B2666" t="s">
        <v>139</v>
      </c>
      <c r="C2666" s="22">
        <v>46242</v>
      </c>
      <c r="D2666" s="23">
        <v>34731</v>
      </c>
    </row>
    <row r="2667" spans="1:4">
      <c r="A2667" t="s">
        <v>18</v>
      </c>
      <c r="B2667" t="s">
        <v>129</v>
      </c>
      <c r="C2667" s="22">
        <v>46242</v>
      </c>
      <c r="D2667" s="23">
        <v>36213</v>
      </c>
    </row>
    <row r="2668" spans="1:4">
      <c r="A2668" t="s">
        <v>28</v>
      </c>
      <c r="B2668" t="s">
        <v>216</v>
      </c>
      <c r="C2668" s="22">
        <v>46243</v>
      </c>
      <c r="D2668" s="23">
        <v>15510</v>
      </c>
    </row>
    <row r="2669" spans="1:4">
      <c r="A2669" t="s">
        <v>21</v>
      </c>
      <c r="B2669" t="s">
        <v>136</v>
      </c>
      <c r="C2669" s="22">
        <v>46243</v>
      </c>
      <c r="D2669" s="23">
        <v>31407</v>
      </c>
    </row>
    <row r="2670" spans="1:4">
      <c r="A2670" t="s">
        <v>21</v>
      </c>
      <c r="B2670" t="s">
        <v>96</v>
      </c>
      <c r="C2670" s="22">
        <v>46243</v>
      </c>
      <c r="D2670" s="23">
        <v>46325</v>
      </c>
    </row>
    <row r="2671" spans="1:4">
      <c r="A2671" t="s">
        <v>21</v>
      </c>
      <c r="B2671" t="s">
        <v>131</v>
      </c>
      <c r="C2671" s="22">
        <v>46243</v>
      </c>
      <c r="D2671" s="23">
        <v>21370</v>
      </c>
    </row>
    <row r="2672" spans="1:4">
      <c r="A2672" t="s">
        <v>26</v>
      </c>
      <c r="B2672" t="s">
        <v>203</v>
      </c>
      <c r="C2672" s="22">
        <v>46243</v>
      </c>
      <c r="D2672" s="23">
        <v>21712</v>
      </c>
    </row>
    <row r="2673" spans="1:4">
      <c r="A2673" t="s">
        <v>26</v>
      </c>
      <c r="B2673" t="s">
        <v>263</v>
      </c>
      <c r="C2673" s="22">
        <v>46243</v>
      </c>
      <c r="D2673" s="23">
        <v>21502</v>
      </c>
    </row>
    <row r="2674" spans="1:4">
      <c r="A2674" t="s">
        <v>25</v>
      </c>
      <c r="B2674" t="s">
        <v>61</v>
      </c>
      <c r="C2674" s="22">
        <v>46243</v>
      </c>
      <c r="D2674" s="23">
        <v>14748</v>
      </c>
    </row>
    <row r="2675" spans="1:4">
      <c r="A2675" t="s">
        <v>23</v>
      </c>
      <c r="B2675" t="s">
        <v>232</v>
      </c>
      <c r="C2675" s="22">
        <v>46243</v>
      </c>
      <c r="D2675" s="23">
        <v>32671</v>
      </c>
    </row>
    <row r="2676" spans="1:4">
      <c r="A2676" t="s">
        <v>29</v>
      </c>
      <c r="B2676" t="s">
        <v>142</v>
      </c>
      <c r="C2676" s="22">
        <v>46243</v>
      </c>
      <c r="D2676" s="23">
        <v>14334</v>
      </c>
    </row>
    <row r="2677" spans="1:4">
      <c r="A2677" t="s">
        <v>22</v>
      </c>
      <c r="B2677" t="s">
        <v>125</v>
      </c>
      <c r="C2677" s="22">
        <v>46243</v>
      </c>
      <c r="D2677" s="23">
        <v>34696</v>
      </c>
    </row>
    <row r="2678" spans="1:4">
      <c r="A2678" t="s">
        <v>22</v>
      </c>
      <c r="B2678" t="s">
        <v>271</v>
      </c>
      <c r="C2678" s="22">
        <v>46243</v>
      </c>
      <c r="D2678" s="23">
        <v>28504</v>
      </c>
    </row>
    <row r="2679" spans="1:4">
      <c r="A2679" t="s">
        <v>20</v>
      </c>
      <c r="B2679" t="s">
        <v>144</v>
      </c>
      <c r="C2679" s="22">
        <v>46243</v>
      </c>
      <c r="D2679" s="23">
        <v>36417</v>
      </c>
    </row>
    <row r="2680" spans="1:4">
      <c r="A2680" t="s">
        <v>20</v>
      </c>
      <c r="B2680" t="s">
        <v>102</v>
      </c>
      <c r="C2680" s="22">
        <v>46243</v>
      </c>
      <c r="D2680" s="23">
        <v>29734</v>
      </c>
    </row>
    <row r="2681" spans="1:4">
      <c r="A2681" t="s">
        <v>20</v>
      </c>
      <c r="B2681" t="s">
        <v>229</v>
      </c>
      <c r="C2681" s="22">
        <v>46243</v>
      </c>
      <c r="D2681" s="23">
        <v>28564</v>
      </c>
    </row>
    <row r="2682" spans="1:4">
      <c r="A2682" t="s">
        <v>20</v>
      </c>
      <c r="B2682" t="s">
        <v>82</v>
      </c>
      <c r="C2682" s="22">
        <v>46243</v>
      </c>
      <c r="D2682" s="23">
        <v>27534</v>
      </c>
    </row>
    <row r="2683" spans="1:4">
      <c r="A2683" t="s">
        <v>20</v>
      </c>
      <c r="B2683" t="s">
        <v>143</v>
      </c>
      <c r="C2683" s="22">
        <v>46243</v>
      </c>
      <c r="D2683" s="23">
        <v>34494</v>
      </c>
    </row>
    <row r="2684" spans="1:4">
      <c r="A2684" t="s">
        <v>18</v>
      </c>
      <c r="B2684" t="s">
        <v>66</v>
      </c>
      <c r="C2684" s="22">
        <v>46243</v>
      </c>
      <c r="D2684" s="23">
        <v>48740</v>
      </c>
    </row>
    <row r="2685" spans="1:4">
      <c r="A2685" t="s">
        <v>18</v>
      </c>
      <c r="B2685" t="s">
        <v>84</v>
      </c>
      <c r="C2685" s="22">
        <v>46243</v>
      </c>
      <c r="D2685" s="23">
        <v>50616</v>
      </c>
    </row>
    <row r="2686" spans="1:4">
      <c r="A2686" t="s">
        <v>18</v>
      </c>
      <c r="B2686" t="s">
        <v>84</v>
      </c>
      <c r="C2686" s="22">
        <v>46243</v>
      </c>
      <c r="D2686" s="23">
        <v>52532</v>
      </c>
    </row>
    <row r="2687" spans="1:4">
      <c r="A2687" t="s">
        <v>18</v>
      </c>
      <c r="B2687" t="s">
        <v>95</v>
      </c>
      <c r="C2687" s="22">
        <v>46243</v>
      </c>
      <c r="D2687" s="23">
        <v>54857</v>
      </c>
    </row>
    <row r="2688" spans="1:4">
      <c r="A2688" t="s">
        <v>18</v>
      </c>
      <c r="B2688" t="s">
        <v>129</v>
      </c>
      <c r="C2688" s="22">
        <v>46243</v>
      </c>
      <c r="D2688" s="23">
        <v>28040</v>
      </c>
    </row>
    <row r="2689" spans="1:4">
      <c r="A2689" t="s">
        <v>28</v>
      </c>
      <c r="B2689" t="s">
        <v>217</v>
      </c>
      <c r="C2689" s="22">
        <v>46244</v>
      </c>
      <c r="D2689" s="23">
        <v>17973</v>
      </c>
    </row>
    <row r="2690" spans="1:4">
      <c r="A2690" t="s">
        <v>21</v>
      </c>
      <c r="B2690" t="s">
        <v>47</v>
      </c>
      <c r="C2690" s="22">
        <v>46244</v>
      </c>
      <c r="D2690" s="23">
        <v>36324</v>
      </c>
    </row>
    <row r="2691" spans="1:4">
      <c r="A2691" t="s">
        <v>23</v>
      </c>
      <c r="B2691" t="s">
        <v>268</v>
      </c>
      <c r="C2691" s="22">
        <v>46244</v>
      </c>
      <c r="D2691" s="23">
        <v>17595</v>
      </c>
    </row>
    <row r="2692" spans="1:4">
      <c r="A2692" t="s">
        <v>23</v>
      </c>
      <c r="B2692" t="s">
        <v>282</v>
      </c>
      <c r="C2692" s="22">
        <v>46244</v>
      </c>
      <c r="D2692" s="23">
        <v>23426</v>
      </c>
    </row>
    <row r="2693" spans="1:4">
      <c r="A2693" t="s">
        <v>23</v>
      </c>
      <c r="B2693" t="s">
        <v>234</v>
      </c>
      <c r="C2693" s="22">
        <v>46244</v>
      </c>
      <c r="D2693" s="23">
        <v>20477</v>
      </c>
    </row>
    <row r="2694" spans="1:4">
      <c r="A2694" t="s">
        <v>35</v>
      </c>
      <c r="B2694" t="s">
        <v>123</v>
      </c>
      <c r="C2694" s="22">
        <v>46244</v>
      </c>
      <c r="D2694" s="23">
        <v>14336</v>
      </c>
    </row>
    <row r="2695" spans="1:4">
      <c r="A2695" t="s">
        <v>20</v>
      </c>
      <c r="B2695" t="s">
        <v>260</v>
      </c>
      <c r="C2695" s="22">
        <v>46244</v>
      </c>
      <c r="D2695" s="23">
        <v>48026</v>
      </c>
    </row>
    <row r="2696" spans="1:4">
      <c r="A2696" t="s">
        <v>20</v>
      </c>
      <c r="B2696" t="s">
        <v>103</v>
      </c>
      <c r="C2696" s="22">
        <v>46244</v>
      </c>
      <c r="D2696" s="23">
        <v>37948</v>
      </c>
    </row>
    <row r="2697" spans="1:4">
      <c r="A2697" t="s">
        <v>20</v>
      </c>
      <c r="B2697" t="s">
        <v>145</v>
      </c>
      <c r="C2697" s="22">
        <v>46244</v>
      </c>
      <c r="D2697" s="23">
        <v>27956</v>
      </c>
    </row>
    <row r="2698" spans="1:4">
      <c r="A2698" t="s">
        <v>18</v>
      </c>
      <c r="B2698" t="s">
        <v>94</v>
      </c>
      <c r="C2698" s="22">
        <v>46244</v>
      </c>
      <c r="D2698" s="23">
        <v>41742</v>
      </c>
    </row>
    <row r="2699" spans="1:4">
      <c r="A2699" t="s">
        <v>18</v>
      </c>
      <c r="B2699" t="s">
        <v>173</v>
      </c>
      <c r="C2699" s="22">
        <v>46244</v>
      </c>
      <c r="D2699" s="23">
        <v>28242</v>
      </c>
    </row>
    <row r="2700" spans="1:4">
      <c r="A2700" t="s">
        <v>18</v>
      </c>
      <c r="B2700" t="s">
        <v>107</v>
      </c>
      <c r="C2700" s="22">
        <v>46244</v>
      </c>
      <c r="D2700" s="23">
        <v>45574</v>
      </c>
    </row>
    <row r="2701" spans="1:4">
      <c r="A2701" t="s">
        <v>21</v>
      </c>
      <c r="B2701" t="s">
        <v>110</v>
      </c>
      <c r="C2701" s="22">
        <v>46245</v>
      </c>
      <c r="D2701" s="23">
        <v>13377</v>
      </c>
    </row>
    <row r="2702" spans="1:4">
      <c r="A2702" t="s">
        <v>21</v>
      </c>
      <c r="B2702" t="s">
        <v>96</v>
      </c>
      <c r="C2702" s="22">
        <v>46245</v>
      </c>
      <c r="D2702" s="23">
        <v>34779</v>
      </c>
    </row>
    <row r="2703" spans="1:4">
      <c r="A2703" t="s">
        <v>21</v>
      </c>
      <c r="B2703" t="s">
        <v>254</v>
      </c>
      <c r="C2703" s="22">
        <v>46245</v>
      </c>
      <c r="D2703" s="23">
        <v>41660</v>
      </c>
    </row>
    <row r="2704" spans="1:4">
      <c r="A2704" t="s">
        <v>21</v>
      </c>
      <c r="B2704" t="s">
        <v>164</v>
      </c>
      <c r="C2704" s="22">
        <v>46245</v>
      </c>
      <c r="D2704" s="23">
        <v>40048</v>
      </c>
    </row>
    <row r="2705" spans="1:4">
      <c r="A2705" t="s">
        <v>27</v>
      </c>
      <c r="B2705" t="s">
        <v>247</v>
      </c>
      <c r="C2705" s="22">
        <v>46245</v>
      </c>
      <c r="D2705" s="23">
        <v>15169</v>
      </c>
    </row>
    <row r="2706" spans="1:4">
      <c r="A2706" t="s">
        <v>23</v>
      </c>
      <c r="B2706" t="s">
        <v>262</v>
      </c>
      <c r="C2706" s="22">
        <v>46245</v>
      </c>
      <c r="D2706" s="23">
        <v>22674</v>
      </c>
    </row>
    <row r="2707" spans="1:4">
      <c r="A2707" t="s">
        <v>20</v>
      </c>
      <c r="B2707" t="s">
        <v>189</v>
      </c>
      <c r="C2707" s="22">
        <v>46245</v>
      </c>
      <c r="D2707" s="23">
        <v>26731</v>
      </c>
    </row>
    <row r="2708" spans="1:4">
      <c r="A2708" t="s">
        <v>20</v>
      </c>
      <c r="B2708" t="s">
        <v>168</v>
      </c>
      <c r="C2708" s="22">
        <v>46245</v>
      </c>
      <c r="D2708" s="23">
        <v>28511</v>
      </c>
    </row>
    <row r="2709" spans="1:4">
      <c r="A2709" t="s">
        <v>18</v>
      </c>
      <c r="B2709" t="s">
        <v>71</v>
      </c>
      <c r="C2709" s="22">
        <v>46245</v>
      </c>
      <c r="D2709" s="23">
        <v>39051</v>
      </c>
    </row>
    <row r="2710" spans="1:4">
      <c r="A2710" t="s">
        <v>18</v>
      </c>
      <c r="B2710" t="s">
        <v>224</v>
      </c>
      <c r="C2710" s="22">
        <v>46245</v>
      </c>
      <c r="D2710" s="23">
        <v>54270</v>
      </c>
    </row>
    <row r="2711" spans="1:4">
      <c r="A2711" t="s">
        <v>18</v>
      </c>
      <c r="B2711" t="s">
        <v>138</v>
      </c>
      <c r="C2711" s="22">
        <v>46245</v>
      </c>
      <c r="D2711" s="23">
        <v>40495</v>
      </c>
    </row>
    <row r="2712" spans="1:4">
      <c r="A2712" t="s">
        <v>21</v>
      </c>
      <c r="B2712" t="s">
        <v>272</v>
      </c>
      <c r="C2712" s="22">
        <v>46246</v>
      </c>
      <c r="D2712" s="23">
        <v>32088</v>
      </c>
    </row>
    <row r="2713" spans="1:4">
      <c r="A2713" t="s">
        <v>21</v>
      </c>
      <c r="B2713" t="s">
        <v>174</v>
      </c>
      <c r="C2713" s="22">
        <v>46246</v>
      </c>
      <c r="D2713" s="23">
        <v>32355</v>
      </c>
    </row>
    <row r="2714" spans="1:4">
      <c r="A2714" t="s">
        <v>21</v>
      </c>
      <c r="B2714" t="s">
        <v>159</v>
      </c>
      <c r="C2714" s="22">
        <v>46246</v>
      </c>
      <c r="D2714" s="23">
        <v>39367</v>
      </c>
    </row>
    <row r="2715" spans="1:4">
      <c r="A2715" t="s">
        <v>26</v>
      </c>
      <c r="B2715" t="s">
        <v>220</v>
      </c>
      <c r="C2715" s="22">
        <v>46246</v>
      </c>
      <c r="D2715" s="23">
        <v>17268</v>
      </c>
    </row>
    <row r="2716" spans="1:4">
      <c r="A2716" t="s">
        <v>32</v>
      </c>
      <c r="B2716" t="s">
        <v>179</v>
      </c>
      <c r="C2716" s="22">
        <v>46246</v>
      </c>
      <c r="D2716" s="23">
        <v>15189</v>
      </c>
    </row>
    <row r="2717" spans="1:4">
      <c r="A2717" t="s">
        <v>25</v>
      </c>
      <c r="B2717" t="s">
        <v>112</v>
      </c>
      <c r="C2717" s="22">
        <v>46246</v>
      </c>
      <c r="D2717" s="23">
        <v>28011</v>
      </c>
    </row>
    <row r="2718" spans="1:4">
      <c r="A2718" t="s">
        <v>34</v>
      </c>
      <c r="B2718" t="s">
        <v>261</v>
      </c>
      <c r="C2718" s="22">
        <v>46246</v>
      </c>
      <c r="D2718" s="23">
        <v>5200</v>
      </c>
    </row>
    <row r="2719" spans="1:4">
      <c r="A2719" t="s">
        <v>22</v>
      </c>
      <c r="B2719" t="s">
        <v>153</v>
      </c>
      <c r="C2719" s="22">
        <v>46246</v>
      </c>
      <c r="D2719" s="23">
        <v>24649</v>
      </c>
    </row>
    <row r="2720" spans="1:4">
      <c r="A2720" t="s">
        <v>20</v>
      </c>
      <c r="B2720" t="s">
        <v>158</v>
      </c>
      <c r="C2720" s="22">
        <v>46246</v>
      </c>
      <c r="D2720" s="23">
        <v>37342</v>
      </c>
    </row>
    <row r="2721" spans="1:4">
      <c r="A2721" t="s">
        <v>18</v>
      </c>
      <c r="B2721" t="s">
        <v>200</v>
      </c>
      <c r="C2721" s="22">
        <v>46246</v>
      </c>
      <c r="D2721" s="23">
        <v>21697</v>
      </c>
    </row>
    <row r="2722" spans="1:4">
      <c r="A2722" t="s">
        <v>28</v>
      </c>
      <c r="B2722" t="s">
        <v>235</v>
      </c>
      <c r="C2722" s="22">
        <v>46247</v>
      </c>
      <c r="D2722" s="23">
        <v>17580</v>
      </c>
    </row>
    <row r="2723" spans="1:4">
      <c r="A2723" t="s">
        <v>21</v>
      </c>
      <c r="B2723" t="s">
        <v>226</v>
      </c>
      <c r="C2723" s="22">
        <v>46247</v>
      </c>
      <c r="D2723" s="23">
        <v>38176</v>
      </c>
    </row>
    <row r="2724" spans="1:4">
      <c r="A2724" t="s">
        <v>21</v>
      </c>
      <c r="B2724" t="s">
        <v>253</v>
      </c>
      <c r="C2724" s="22">
        <v>46247</v>
      </c>
      <c r="D2724" s="23">
        <v>26382</v>
      </c>
    </row>
    <row r="2725" spans="1:4">
      <c r="A2725" t="s">
        <v>27</v>
      </c>
      <c r="B2725" t="s">
        <v>150</v>
      </c>
      <c r="C2725" s="22">
        <v>46247</v>
      </c>
      <c r="D2725" s="23">
        <v>5356</v>
      </c>
    </row>
    <row r="2726" spans="1:4">
      <c r="A2726" t="s">
        <v>27</v>
      </c>
      <c r="B2726" t="s">
        <v>177</v>
      </c>
      <c r="C2726" s="22">
        <v>46247</v>
      </c>
      <c r="D2726" s="23">
        <v>35937</v>
      </c>
    </row>
    <row r="2727" spans="1:4">
      <c r="A2727" t="s">
        <v>20</v>
      </c>
      <c r="B2727" t="s">
        <v>207</v>
      </c>
      <c r="C2727" s="22">
        <v>46247</v>
      </c>
      <c r="D2727" s="23">
        <v>29885</v>
      </c>
    </row>
    <row r="2728" spans="1:4">
      <c r="A2728" t="s">
        <v>20</v>
      </c>
      <c r="B2728" t="s">
        <v>136</v>
      </c>
      <c r="C2728" s="22">
        <v>46247</v>
      </c>
      <c r="D2728" s="23">
        <v>29231</v>
      </c>
    </row>
    <row r="2729" spans="1:4">
      <c r="A2729" t="s">
        <v>20</v>
      </c>
      <c r="B2729" t="s">
        <v>214</v>
      </c>
      <c r="C2729" s="22">
        <v>46247</v>
      </c>
      <c r="D2729" s="23">
        <v>17115</v>
      </c>
    </row>
    <row r="2730" spans="1:4">
      <c r="A2730" t="s">
        <v>18</v>
      </c>
      <c r="B2730" t="s">
        <v>59</v>
      </c>
      <c r="C2730" s="22">
        <v>46247</v>
      </c>
      <c r="D2730" s="23">
        <v>38316</v>
      </c>
    </row>
    <row r="2731" spans="1:4">
      <c r="A2731" t="s">
        <v>18</v>
      </c>
      <c r="B2731" t="s">
        <v>94</v>
      </c>
      <c r="C2731" s="22">
        <v>46247</v>
      </c>
      <c r="D2731" s="23">
        <v>53824</v>
      </c>
    </row>
    <row r="2732" spans="1:4">
      <c r="A2732" t="s">
        <v>18</v>
      </c>
      <c r="B2732" t="s">
        <v>117</v>
      </c>
      <c r="C2732" s="22">
        <v>46247</v>
      </c>
      <c r="D2732" s="23">
        <v>41084</v>
      </c>
    </row>
    <row r="2733" spans="1:4">
      <c r="A2733" t="s">
        <v>18</v>
      </c>
      <c r="B2733" t="s">
        <v>159</v>
      </c>
      <c r="C2733" s="22">
        <v>46247</v>
      </c>
      <c r="D2733" s="23">
        <v>40875</v>
      </c>
    </row>
    <row r="2734" spans="1:4">
      <c r="A2734" t="s">
        <v>18</v>
      </c>
      <c r="B2734" t="s">
        <v>138</v>
      </c>
      <c r="C2734" s="22">
        <v>46247</v>
      </c>
      <c r="D2734" s="23">
        <v>38754</v>
      </c>
    </row>
    <row r="2735" spans="1:4">
      <c r="A2735" t="s">
        <v>28</v>
      </c>
      <c r="B2735" t="s">
        <v>198</v>
      </c>
      <c r="C2735" s="22">
        <v>46248</v>
      </c>
      <c r="D2735" s="23">
        <v>5200</v>
      </c>
    </row>
    <row r="2736" spans="1:4">
      <c r="A2736" t="s">
        <v>21</v>
      </c>
      <c r="B2736" t="s">
        <v>237</v>
      </c>
      <c r="C2736" s="22">
        <v>46248</v>
      </c>
      <c r="D2736" s="23">
        <v>28208</v>
      </c>
    </row>
    <row r="2737" spans="1:4">
      <c r="A2737" t="s">
        <v>27</v>
      </c>
      <c r="B2737" t="s">
        <v>152</v>
      </c>
      <c r="C2737" s="22">
        <v>46248</v>
      </c>
      <c r="D2737" s="23">
        <v>14252</v>
      </c>
    </row>
    <row r="2738" spans="1:4">
      <c r="A2738" t="s">
        <v>22</v>
      </c>
      <c r="B2738" t="s">
        <v>52</v>
      </c>
      <c r="C2738" s="22">
        <v>46248</v>
      </c>
      <c r="D2738" s="23">
        <v>12783</v>
      </c>
    </row>
    <row r="2739" spans="1:4">
      <c r="A2739" t="s">
        <v>20</v>
      </c>
      <c r="B2739" t="s">
        <v>126</v>
      </c>
      <c r="C2739" s="22">
        <v>46248</v>
      </c>
      <c r="D2739" s="23">
        <v>49945</v>
      </c>
    </row>
    <row r="2740" spans="1:4">
      <c r="A2740" t="s">
        <v>20</v>
      </c>
      <c r="B2740" t="s">
        <v>215</v>
      </c>
      <c r="C2740" s="22">
        <v>46248</v>
      </c>
      <c r="D2740" s="23">
        <v>30137</v>
      </c>
    </row>
    <row r="2741" spans="1:4">
      <c r="A2741" t="s">
        <v>20</v>
      </c>
      <c r="B2741" t="s">
        <v>83</v>
      </c>
      <c r="C2741" s="22">
        <v>46248</v>
      </c>
      <c r="D2741" s="23">
        <v>31129</v>
      </c>
    </row>
    <row r="2742" spans="1:4">
      <c r="A2742" t="s">
        <v>18</v>
      </c>
      <c r="B2742" t="s">
        <v>86</v>
      </c>
      <c r="C2742" s="22">
        <v>46248</v>
      </c>
      <c r="D2742" s="23">
        <v>37958</v>
      </c>
    </row>
    <row r="2743" spans="1:4">
      <c r="A2743" t="s">
        <v>18</v>
      </c>
      <c r="B2743" t="s">
        <v>128</v>
      </c>
      <c r="C2743" s="22">
        <v>46248</v>
      </c>
      <c r="D2743" s="23">
        <v>33357</v>
      </c>
    </row>
    <row r="2744" spans="1:4">
      <c r="A2744" t="s">
        <v>18</v>
      </c>
      <c r="B2744" t="s">
        <v>165</v>
      </c>
      <c r="C2744" s="22">
        <v>46248</v>
      </c>
      <c r="D2744" s="23">
        <v>41185</v>
      </c>
    </row>
    <row r="2745" spans="1:4">
      <c r="A2745" t="s">
        <v>37</v>
      </c>
      <c r="B2745" t="s">
        <v>73</v>
      </c>
      <c r="C2745" s="22">
        <v>46249</v>
      </c>
      <c r="D2745" s="23">
        <v>10015</v>
      </c>
    </row>
    <row r="2746" spans="1:4">
      <c r="A2746" t="s">
        <v>39</v>
      </c>
      <c r="B2746" t="s">
        <v>101</v>
      </c>
      <c r="C2746" s="22">
        <v>46249</v>
      </c>
      <c r="D2746" s="23">
        <v>5424</v>
      </c>
    </row>
    <row r="2747" spans="1:4">
      <c r="A2747" t="s">
        <v>21</v>
      </c>
      <c r="B2747" t="s">
        <v>80</v>
      </c>
      <c r="C2747" s="22">
        <v>46249</v>
      </c>
      <c r="D2747" s="23">
        <v>23654</v>
      </c>
    </row>
    <row r="2748" spans="1:4">
      <c r="A2748" t="s">
        <v>31</v>
      </c>
      <c r="B2748" t="s">
        <v>201</v>
      </c>
      <c r="C2748" s="22">
        <v>46249</v>
      </c>
      <c r="D2748" s="23">
        <v>15850</v>
      </c>
    </row>
    <row r="2749" spans="1:4">
      <c r="A2749" t="s">
        <v>22</v>
      </c>
      <c r="B2749" t="s">
        <v>91</v>
      </c>
      <c r="C2749" s="22">
        <v>46249</v>
      </c>
      <c r="D2749" s="23">
        <v>21516</v>
      </c>
    </row>
    <row r="2750" spans="1:4">
      <c r="A2750" t="s">
        <v>20</v>
      </c>
      <c r="B2750" t="s">
        <v>161</v>
      </c>
      <c r="C2750" s="22">
        <v>46249</v>
      </c>
      <c r="D2750" s="23">
        <v>31155</v>
      </c>
    </row>
    <row r="2751" spans="1:4">
      <c r="A2751" t="s">
        <v>18</v>
      </c>
      <c r="B2751" t="s">
        <v>68</v>
      </c>
      <c r="C2751" s="22">
        <v>46249</v>
      </c>
      <c r="D2751" s="23">
        <v>50613</v>
      </c>
    </row>
    <row r="2752" spans="1:4">
      <c r="A2752" t="s">
        <v>18</v>
      </c>
      <c r="B2752" t="s">
        <v>69</v>
      </c>
      <c r="C2752" s="22">
        <v>46249</v>
      </c>
      <c r="D2752" s="23">
        <v>29840</v>
      </c>
    </row>
    <row r="2753" spans="1:4">
      <c r="A2753" t="s">
        <v>28</v>
      </c>
      <c r="B2753" t="s">
        <v>185</v>
      </c>
      <c r="C2753" s="22">
        <v>46250</v>
      </c>
      <c r="D2753" s="23">
        <v>10347</v>
      </c>
    </row>
    <row r="2754" spans="1:4">
      <c r="A2754" t="s">
        <v>28</v>
      </c>
      <c r="B2754" t="s">
        <v>218</v>
      </c>
      <c r="C2754" s="22">
        <v>46250</v>
      </c>
      <c r="D2754" s="23">
        <v>16642</v>
      </c>
    </row>
    <row r="2755" spans="1:4">
      <c r="A2755" t="s">
        <v>21</v>
      </c>
      <c r="B2755" t="s">
        <v>163</v>
      </c>
      <c r="C2755" s="22">
        <v>46250</v>
      </c>
      <c r="D2755" s="23">
        <v>22670</v>
      </c>
    </row>
    <row r="2756" spans="1:4">
      <c r="A2756" t="s">
        <v>31</v>
      </c>
      <c r="B2756" t="s">
        <v>193</v>
      </c>
      <c r="C2756" s="22">
        <v>46250</v>
      </c>
      <c r="D2756" s="23">
        <v>13276</v>
      </c>
    </row>
    <row r="2757" spans="1:4">
      <c r="A2757" t="s">
        <v>32</v>
      </c>
      <c r="B2757" t="s">
        <v>257</v>
      </c>
      <c r="C2757" s="22">
        <v>46250</v>
      </c>
      <c r="D2757" s="23">
        <v>26483</v>
      </c>
    </row>
    <row r="2758" spans="1:4">
      <c r="A2758" t="s">
        <v>35</v>
      </c>
      <c r="B2758" t="s">
        <v>196</v>
      </c>
      <c r="C2758" s="22">
        <v>46250</v>
      </c>
      <c r="D2758" s="23">
        <v>14322</v>
      </c>
    </row>
    <row r="2759" spans="1:4">
      <c r="A2759" t="s">
        <v>35</v>
      </c>
      <c r="B2759" t="s">
        <v>122</v>
      </c>
      <c r="C2759" s="22">
        <v>46250</v>
      </c>
      <c r="D2759" s="23">
        <v>13902</v>
      </c>
    </row>
    <row r="2760" spans="1:4">
      <c r="A2760" t="s">
        <v>20</v>
      </c>
      <c r="B2760" t="s">
        <v>104</v>
      </c>
      <c r="C2760" s="22">
        <v>46250</v>
      </c>
      <c r="D2760" s="23">
        <v>25882</v>
      </c>
    </row>
    <row r="2761" spans="1:4">
      <c r="A2761" t="s">
        <v>18</v>
      </c>
      <c r="B2761" t="s">
        <v>54</v>
      </c>
      <c r="C2761" s="22">
        <v>46250</v>
      </c>
      <c r="D2761" s="23">
        <v>51579</v>
      </c>
    </row>
    <row r="2762" spans="1:4">
      <c r="A2762" t="s">
        <v>18</v>
      </c>
      <c r="B2762" t="s">
        <v>93</v>
      </c>
      <c r="C2762" s="22">
        <v>46250</v>
      </c>
      <c r="D2762" s="23">
        <v>29568</v>
      </c>
    </row>
    <row r="2763" spans="1:4">
      <c r="A2763" t="s">
        <v>18</v>
      </c>
      <c r="B2763" t="s">
        <v>171</v>
      </c>
      <c r="C2763" s="22">
        <v>46250</v>
      </c>
      <c r="D2763" s="23">
        <v>36196</v>
      </c>
    </row>
    <row r="2764" spans="1:4">
      <c r="A2764" t="s">
        <v>18</v>
      </c>
      <c r="B2764" t="s">
        <v>192</v>
      </c>
      <c r="C2764" s="22">
        <v>46250</v>
      </c>
      <c r="D2764" s="23">
        <v>56644</v>
      </c>
    </row>
    <row r="2765" spans="1:4">
      <c r="A2765" t="s">
        <v>18</v>
      </c>
      <c r="B2765" t="s">
        <v>97</v>
      </c>
      <c r="C2765" s="22">
        <v>46250</v>
      </c>
      <c r="D2765" s="23">
        <v>61538</v>
      </c>
    </row>
    <row r="2766" spans="1:4">
      <c r="A2766" t="s">
        <v>25</v>
      </c>
      <c r="B2766" t="s">
        <v>180</v>
      </c>
      <c r="C2766" s="22">
        <v>46251</v>
      </c>
      <c r="D2766" s="23">
        <v>27160</v>
      </c>
    </row>
    <row r="2767" spans="1:4">
      <c r="A2767" t="s">
        <v>23</v>
      </c>
      <c r="B2767" t="s">
        <v>62</v>
      </c>
      <c r="C2767" s="22">
        <v>46251</v>
      </c>
      <c r="D2767" s="23">
        <v>34050</v>
      </c>
    </row>
    <row r="2768" spans="1:4">
      <c r="A2768" t="s">
        <v>22</v>
      </c>
      <c r="B2768" t="s">
        <v>135</v>
      </c>
      <c r="C2768" s="22">
        <v>46251</v>
      </c>
      <c r="D2768" s="23">
        <v>41728</v>
      </c>
    </row>
    <row r="2769" spans="1:4">
      <c r="A2769" t="s">
        <v>20</v>
      </c>
      <c r="B2769" t="s">
        <v>116</v>
      </c>
      <c r="C2769" s="22">
        <v>46251</v>
      </c>
      <c r="D2769" s="23">
        <v>28026</v>
      </c>
    </row>
    <row r="2770" spans="1:4">
      <c r="A2770" t="s">
        <v>18</v>
      </c>
      <c r="B2770" t="s">
        <v>106</v>
      </c>
      <c r="C2770" s="22">
        <v>46251</v>
      </c>
      <c r="D2770" s="23">
        <v>45886</v>
      </c>
    </row>
    <row r="2771" spans="1:4">
      <c r="A2771" t="s">
        <v>18</v>
      </c>
      <c r="B2771" t="s">
        <v>56</v>
      </c>
      <c r="C2771" s="22">
        <v>46251</v>
      </c>
      <c r="D2771" s="23">
        <v>38952</v>
      </c>
    </row>
    <row r="2772" spans="1:4">
      <c r="A2772" t="s">
        <v>18</v>
      </c>
      <c r="B2772" t="s">
        <v>94</v>
      </c>
      <c r="C2772" s="22">
        <v>46251</v>
      </c>
      <c r="D2772" s="23">
        <v>53378</v>
      </c>
    </row>
    <row r="2773" spans="1:4">
      <c r="A2773" t="s">
        <v>18</v>
      </c>
      <c r="B2773" t="s">
        <v>68</v>
      </c>
      <c r="C2773" s="22">
        <v>46251</v>
      </c>
      <c r="D2773" s="23">
        <v>37113</v>
      </c>
    </row>
    <row r="2774" spans="1:4">
      <c r="A2774" t="s">
        <v>34</v>
      </c>
      <c r="B2774" t="s">
        <v>186</v>
      </c>
      <c r="C2774" s="22">
        <v>46252</v>
      </c>
      <c r="D2774" s="23">
        <v>14214</v>
      </c>
    </row>
    <row r="2775" spans="1:4">
      <c r="A2775" t="s">
        <v>22</v>
      </c>
      <c r="B2775" t="s">
        <v>81</v>
      </c>
      <c r="C2775" s="22">
        <v>46252</v>
      </c>
      <c r="D2775" s="23">
        <v>28781</v>
      </c>
    </row>
    <row r="2776" spans="1:4">
      <c r="A2776" t="s">
        <v>20</v>
      </c>
      <c r="B2776" t="s">
        <v>144</v>
      </c>
      <c r="C2776" s="22">
        <v>46252</v>
      </c>
      <c r="D2776" s="23">
        <v>39022</v>
      </c>
    </row>
    <row r="2777" spans="1:4">
      <c r="A2777" t="s">
        <v>20</v>
      </c>
      <c r="B2777" t="s">
        <v>169</v>
      </c>
      <c r="C2777" s="22">
        <v>46252</v>
      </c>
      <c r="D2777" s="23">
        <v>33827</v>
      </c>
    </row>
    <row r="2778" spans="1:4">
      <c r="A2778" t="s">
        <v>20</v>
      </c>
      <c r="B2778" t="s">
        <v>170</v>
      </c>
      <c r="C2778" s="22">
        <v>46252</v>
      </c>
      <c r="D2778" s="23">
        <v>44873</v>
      </c>
    </row>
    <row r="2779" spans="1:4">
      <c r="A2779" t="s">
        <v>20</v>
      </c>
      <c r="B2779" t="s">
        <v>224</v>
      </c>
      <c r="C2779" s="22">
        <v>46252</v>
      </c>
      <c r="D2779" s="23">
        <v>54513</v>
      </c>
    </row>
    <row r="2780" spans="1:4">
      <c r="A2780" t="s">
        <v>18</v>
      </c>
      <c r="B2780" t="s">
        <v>117</v>
      </c>
      <c r="C2780" s="22">
        <v>46252</v>
      </c>
      <c r="D2780" s="23">
        <v>50726</v>
      </c>
    </row>
    <row r="2781" spans="1:4">
      <c r="A2781" t="s">
        <v>18</v>
      </c>
      <c r="B2781" t="s">
        <v>129</v>
      </c>
      <c r="C2781" s="22">
        <v>46252</v>
      </c>
      <c r="D2781" s="23">
        <v>38449</v>
      </c>
    </row>
    <row r="2782" spans="1:4">
      <c r="A2782" t="s">
        <v>18</v>
      </c>
      <c r="B2782" t="s">
        <v>129</v>
      </c>
      <c r="C2782" s="22">
        <v>46252</v>
      </c>
      <c r="D2782" s="23">
        <v>29387</v>
      </c>
    </row>
    <row r="2783" spans="1:4">
      <c r="A2783" t="s">
        <v>18</v>
      </c>
      <c r="B2783" t="s">
        <v>86</v>
      </c>
      <c r="C2783" s="22">
        <v>46252</v>
      </c>
      <c r="D2783" s="23">
        <v>39148</v>
      </c>
    </row>
    <row r="2784" spans="1:4">
      <c r="A2784" t="s">
        <v>18</v>
      </c>
      <c r="B2784" t="s">
        <v>108</v>
      </c>
      <c r="C2784" s="22">
        <v>46252</v>
      </c>
      <c r="D2784" s="23">
        <v>28220</v>
      </c>
    </row>
    <row r="2785" spans="1:4">
      <c r="A2785" t="s">
        <v>26</v>
      </c>
      <c r="B2785" t="s">
        <v>48</v>
      </c>
      <c r="C2785" s="22">
        <v>46253</v>
      </c>
      <c r="D2785" s="23">
        <v>19977</v>
      </c>
    </row>
    <row r="2786" spans="1:4">
      <c r="A2786" t="s">
        <v>23</v>
      </c>
      <c r="B2786" t="s">
        <v>77</v>
      </c>
      <c r="C2786" s="22">
        <v>46253</v>
      </c>
      <c r="D2786" s="23">
        <v>21722</v>
      </c>
    </row>
    <row r="2787" spans="1:4">
      <c r="A2787" t="s">
        <v>23</v>
      </c>
      <c r="B2787" t="s">
        <v>182</v>
      </c>
      <c r="C2787" s="22">
        <v>46253</v>
      </c>
      <c r="D2787" s="23">
        <v>25685</v>
      </c>
    </row>
    <row r="2788" spans="1:4">
      <c r="A2788" t="s">
        <v>23</v>
      </c>
      <c r="B2788" t="s">
        <v>204</v>
      </c>
      <c r="C2788" s="22">
        <v>46253</v>
      </c>
      <c r="D2788" s="23">
        <v>18536</v>
      </c>
    </row>
    <row r="2789" spans="1:4">
      <c r="A2789" t="s">
        <v>20</v>
      </c>
      <c r="B2789" t="s">
        <v>250</v>
      </c>
      <c r="C2789" s="22">
        <v>46253</v>
      </c>
      <c r="D2789" s="23">
        <v>28180</v>
      </c>
    </row>
    <row r="2790" spans="1:4">
      <c r="A2790" t="s">
        <v>18</v>
      </c>
      <c r="B2790" t="s">
        <v>106</v>
      </c>
      <c r="C2790" s="22">
        <v>46253</v>
      </c>
      <c r="D2790" s="23">
        <v>39924</v>
      </c>
    </row>
    <row r="2791" spans="1:4">
      <c r="A2791" t="s">
        <v>18</v>
      </c>
      <c r="B2791" t="s">
        <v>55</v>
      </c>
      <c r="C2791" s="22">
        <v>46253</v>
      </c>
      <c r="D2791" s="23">
        <v>37671</v>
      </c>
    </row>
    <row r="2792" spans="1:4">
      <c r="A2792" t="s">
        <v>18</v>
      </c>
      <c r="B2792" t="s">
        <v>67</v>
      </c>
      <c r="C2792" s="22">
        <v>46253</v>
      </c>
      <c r="D2792" s="23">
        <v>43837</v>
      </c>
    </row>
    <row r="2793" spans="1:4">
      <c r="A2793" t="s">
        <v>18</v>
      </c>
      <c r="B2793" t="s">
        <v>94</v>
      </c>
      <c r="C2793" s="22">
        <v>46253</v>
      </c>
      <c r="D2793" s="23">
        <v>44659</v>
      </c>
    </row>
    <row r="2794" spans="1:4">
      <c r="A2794" t="s">
        <v>18</v>
      </c>
      <c r="B2794" t="s">
        <v>192</v>
      </c>
      <c r="C2794" s="22">
        <v>46253</v>
      </c>
      <c r="D2794" s="23">
        <v>45927</v>
      </c>
    </row>
    <row r="2795" spans="1:4">
      <c r="A2795" t="s">
        <v>18</v>
      </c>
      <c r="B2795" t="s">
        <v>57</v>
      </c>
      <c r="C2795" s="22">
        <v>46253</v>
      </c>
      <c r="D2795" s="23">
        <v>46235</v>
      </c>
    </row>
    <row r="2796" spans="1:4">
      <c r="A2796" t="s">
        <v>18</v>
      </c>
      <c r="B2796" t="s">
        <v>108</v>
      </c>
      <c r="C2796" s="22">
        <v>46253</v>
      </c>
      <c r="D2796" s="23">
        <v>33084</v>
      </c>
    </row>
    <row r="2797" spans="1:4">
      <c r="A2797" t="s">
        <v>32</v>
      </c>
      <c r="B2797" t="s">
        <v>50</v>
      </c>
      <c r="C2797" s="22">
        <v>46254</v>
      </c>
      <c r="D2797" s="23">
        <v>8180</v>
      </c>
    </row>
    <row r="2798" spans="1:4">
      <c r="A2798" t="s">
        <v>23</v>
      </c>
      <c r="B2798" t="s">
        <v>212</v>
      </c>
      <c r="C2798" s="22">
        <v>46254</v>
      </c>
      <c r="D2798" s="23">
        <v>25385</v>
      </c>
    </row>
    <row r="2799" spans="1:4">
      <c r="A2799" t="s">
        <v>35</v>
      </c>
      <c r="B2799" t="s">
        <v>121</v>
      </c>
      <c r="C2799" s="22">
        <v>46254</v>
      </c>
      <c r="D2799" s="23">
        <v>15153</v>
      </c>
    </row>
    <row r="2800" spans="1:4">
      <c r="A2800" t="s">
        <v>22</v>
      </c>
      <c r="B2800" t="s">
        <v>63</v>
      </c>
      <c r="C2800" s="22">
        <v>46254</v>
      </c>
      <c r="D2800" s="23">
        <v>14901</v>
      </c>
    </row>
    <row r="2801" spans="1:4">
      <c r="A2801" t="s">
        <v>18</v>
      </c>
      <c r="B2801" t="s">
        <v>69</v>
      </c>
      <c r="C2801" s="22">
        <v>46254</v>
      </c>
      <c r="D2801" s="23">
        <v>42776</v>
      </c>
    </row>
    <row r="2802" spans="1:4">
      <c r="A2802" t="s">
        <v>18</v>
      </c>
      <c r="B2802" t="s">
        <v>71</v>
      </c>
      <c r="C2802" s="22">
        <v>46254</v>
      </c>
      <c r="D2802" s="23">
        <v>37087</v>
      </c>
    </row>
    <row r="2803" spans="1:4">
      <c r="A2803" t="s">
        <v>21</v>
      </c>
      <c r="B2803" t="s">
        <v>147</v>
      </c>
      <c r="C2803" s="22">
        <v>46255</v>
      </c>
      <c r="D2803" s="23">
        <v>51336</v>
      </c>
    </row>
    <row r="2804" spans="1:4">
      <c r="A2804" t="s">
        <v>21</v>
      </c>
      <c r="B2804" t="s">
        <v>246</v>
      </c>
      <c r="C2804" s="22">
        <v>46255</v>
      </c>
      <c r="D2804" s="23">
        <v>36639</v>
      </c>
    </row>
    <row r="2805" spans="1:4">
      <c r="A2805" t="s">
        <v>33</v>
      </c>
      <c r="B2805" t="s">
        <v>205</v>
      </c>
      <c r="C2805" s="22">
        <v>46255</v>
      </c>
      <c r="D2805" s="23">
        <v>5200</v>
      </c>
    </row>
    <row r="2806" spans="1:4">
      <c r="A2806" t="s">
        <v>26</v>
      </c>
      <c r="B2806" t="s">
        <v>175</v>
      </c>
      <c r="C2806" s="22">
        <v>46255</v>
      </c>
      <c r="D2806" s="23">
        <v>19683</v>
      </c>
    </row>
    <row r="2807" spans="1:4">
      <c r="A2807" t="s">
        <v>26</v>
      </c>
      <c r="B2807" t="s">
        <v>270</v>
      </c>
      <c r="C2807" s="22">
        <v>46255</v>
      </c>
      <c r="D2807" s="23">
        <v>10644</v>
      </c>
    </row>
    <row r="2808" spans="1:4">
      <c r="A2808" t="s">
        <v>23</v>
      </c>
      <c r="B2808" t="s">
        <v>195</v>
      </c>
      <c r="C2808" s="22">
        <v>46255</v>
      </c>
      <c r="D2808" s="23">
        <v>34337</v>
      </c>
    </row>
    <row r="2809" spans="1:4">
      <c r="A2809" t="s">
        <v>22</v>
      </c>
      <c r="B2809" t="s">
        <v>133</v>
      </c>
      <c r="C2809" s="22">
        <v>46255</v>
      </c>
      <c r="D2809" s="23">
        <v>27478</v>
      </c>
    </row>
    <row r="2810" spans="1:4">
      <c r="A2810" t="s">
        <v>22</v>
      </c>
      <c r="B2810" t="s">
        <v>183</v>
      </c>
      <c r="C2810" s="22">
        <v>46255</v>
      </c>
      <c r="D2810" s="23">
        <v>5200</v>
      </c>
    </row>
    <row r="2811" spans="1:4">
      <c r="A2811" t="s">
        <v>20</v>
      </c>
      <c r="B2811" t="s">
        <v>239</v>
      </c>
      <c r="C2811" s="22">
        <v>46255</v>
      </c>
      <c r="D2811" s="23">
        <v>30505</v>
      </c>
    </row>
    <row r="2812" spans="1:4">
      <c r="A2812" t="s">
        <v>20</v>
      </c>
      <c r="B2812" t="s">
        <v>103</v>
      </c>
      <c r="C2812" s="22">
        <v>46255</v>
      </c>
      <c r="D2812" s="23">
        <v>28882</v>
      </c>
    </row>
    <row r="2813" spans="1:4">
      <c r="A2813" t="s">
        <v>18</v>
      </c>
      <c r="B2813" t="s">
        <v>92</v>
      </c>
      <c r="C2813" s="22">
        <v>46255</v>
      </c>
      <c r="D2813" s="23">
        <v>56218</v>
      </c>
    </row>
    <row r="2814" spans="1:4">
      <c r="A2814" t="s">
        <v>18</v>
      </c>
      <c r="B2814" t="s">
        <v>260</v>
      </c>
      <c r="C2814" s="22">
        <v>46255</v>
      </c>
      <c r="D2814" s="23">
        <v>47769</v>
      </c>
    </row>
    <row r="2815" spans="1:4">
      <c r="A2815" t="s">
        <v>18</v>
      </c>
      <c r="B2815" t="s">
        <v>84</v>
      </c>
      <c r="C2815" s="22">
        <v>46255</v>
      </c>
      <c r="D2815" s="23">
        <v>35032</v>
      </c>
    </row>
    <row r="2816" spans="1:4">
      <c r="A2816" t="s">
        <v>18</v>
      </c>
      <c r="B2816" t="s">
        <v>172</v>
      </c>
      <c r="C2816" s="22">
        <v>46255</v>
      </c>
      <c r="D2816" s="23">
        <v>47401</v>
      </c>
    </row>
    <row r="2817" spans="1:4">
      <c r="A2817" t="s">
        <v>18</v>
      </c>
      <c r="B2817" t="s">
        <v>72</v>
      </c>
      <c r="C2817" s="22">
        <v>46255</v>
      </c>
      <c r="D2817" s="23">
        <v>58349</v>
      </c>
    </row>
    <row r="2818" spans="1:4">
      <c r="A2818" t="s">
        <v>18</v>
      </c>
      <c r="B2818" t="s">
        <v>72</v>
      </c>
      <c r="C2818" s="22">
        <v>46255</v>
      </c>
      <c r="D2818" s="23">
        <v>41146</v>
      </c>
    </row>
    <row r="2819" spans="1:4">
      <c r="A2819" t="s">
        <v>27</v>
      </c>
      <c r="B2819" t="s">
        <v>256</v>
      </c>
      <c r="C2819" s="22">
        <v>46256</v>
      </c>
      <c r="D2819" s="23">
        <v>16297</v>
      </c>
    </row>
    <row r="2820" spans="1:4">
      <c r="A2820" t="s">
        <v>25</v>
      </c>
      <c r="B2820" t="s">
        <v>120</v>
      </c>
      <c r="C2820" s="22">
        <v>46256</v>
      </c>
      <c r="D2820" s="23">
        <v>18197</v>
      </c>
    </row>
    <row r="2821" spans="1:4">
      <c r="A2821" t="s">
        <v>22</v>
      </c>
      <c r="B2821" t="s">
        <v>127</v>
      </c>
      <c r="C2821" s="22">
        <v>46256</v>
      </c>
      <c r="D2821" s="23">
        <v>39766</v>
      </c>
    </row>
    <row r="2822" spans="1:4">
      <c r="A2822" t="s">
        <v>20</v>
      </c>
      <c r="B2822" t="s">
        <v>115</v>
      </c>
      <c r="C2822" s="22">
        <v>46256</v>
      </c>
      <c r="D2822" s="23">
        <v>42470</v>
      </c>
    </row>
    <row r="2823" spans="1:4">
      <c r="A2823" t="s">
        <v>20</v>
      </c>
      <c r="B2823" t="s">
        <v>168</v>
      </c>
      <c r="C2823" s="22">
        <v>46256</v>
      </c>
      <c r="D2823" s="23">
        <v>27276</v>
      </c>
    </row>
    <row r="2824" spans="1:4">
      <c r="A2824" t="s">
        <v>20</v>
      </c>
      <c r="B2824" t="s">
        <v>169</v>
      </c>
      <c r="C2824" s="22">
        <v>46256</v>
      </c>
      <c r="D2824" s="23">
        <v>36276</v>
      </c>
    </row>
    <row r="2825" spans="1:4">
      <c r="A2825" t="s">
        <v>20</v>
      </c>
      <c r="B2825" t="s">
        <v>191</v>
      </c>
      <c r="C2825" s="22">
        <v>46256</v>
      </c>
      <c r="D2825" s="23">
        <v>34335</v>
      </c>
    </row>
    <row r="2826" spans="1:4">
      <c r="A2826" t="s">
        <v>20</v>
      </c>
      <c r="B2826" t="s">
        <v>82</v>
      </c>
      <c r="C2826" s="22">
        <v>46256</v>
      </c>
      <c r="D2826" s="23">
        <v>26879</v>
      </c>
    </row>
    <row r="2827" spans="1:4">
      <c r="A2827" t="s">
        <v>18</v>
      </c>
      <c r="B2827" t="s">
        <v>92</v>
      </c>
      <c r="C2827" s="22">
        <v>46256</v>
      </c>
      <c r="D2827" s="23">
        <v>47386</v>
      </c>
    </row>
    <row r="2828" spans="1:4">
      <c r="A2828" t="s">
        <v>18</v>
      </c>
      <c r="B2828" t="s">
        <v>95</v>
      </c>
      <c r="C2828" s="22">
        <v>46256</v>
      </c>
      <c r="D2828" s="23">
        <v>39448</v>
      </c>
    </row>
    <row r="2829" spans="1:4">
      <c r="A2829" t="s">
        <v>18</v>
      </c>
      <c r="B2829" t="s">
        <v>192</v>
      </c>
      <c r="C2829" s="22">
        <v>46256</v>
      </c>
      <c r="D2829" s="23">
        <v>49299</v>
      </c>
    </row>
    <row r="2830" spans="1:4">
      <c r="A2830" t="s">
        <v>21</v>
      </c>
      <c r="B2830" t="s">
        <v>251</v>
      </c>
      <c r="C2830" s="22">
        <v>46257</v>
      </c>
      <c r="D2830" s="23">
        <v>39323</v>
      </c>
    </row>
    <row r="2831" spans="1:4">
      <c r="A2831" t="s">
        <v>21</v>
      </c>
      <c r="B2831" t="s">
        <v>146</v>
      </c>
      <c r="C2831" s="22">
        <v>46257</v>
      </c>
      <c r="D2831" s="23">
        <v>28248</v>
      </c>
    </row>
    <row r="2832" spans="1:4">
      <c r="A2832" t="s">
        <v>26</v>
      </c>
      <c r="B2832" t="s">
        <v>276</v>
      </c>
      <c r="C2832" s="22">
        <v>46257</v>
      </c>
      <c r="D2832" s="23">
        <v>32211</v>
      </c>
    </row>
    <row r="2833" spans="1:4">
      <c r="A2833" t="s">
        <v>31</v>
      </c>
      <c r="B2833" t="s">
        <v>176</v>
      </c>
      <c r="C2833" s="22">
        <v>46257</v>
      </c>
      <c r="D2833" s="23">
        <v>12973</v>
      </c>
    </row>
    <row r="2834" spans="1:4">
      <c r="A2834" t="s">
        <v>29</v>
      </c>
      <c r="B2834" t="s">
        <v>160</v>
      </c>
      <c r="C2834" s="22">
        <v>46257</v>
      </c>
      <c r="D2834" s="23">
        <v>23258</v>
      </c>
    </row>
    <row r="2835" spans="1:4">
      <c r="A2835" t="s">
        <v>20</v>
      </c>
      <c r="B2835" t="s">
        <v>83</v>
      </c>
      <c r="C2835" s="22">
        <v>46257</v>
      </c>
      <c r="D2835" s="23">
        <v>32516</v>
      </c>
    </row>
    <row r="2836" spans="1:4">
      <c r="A2836" t="s">
        <v>18</v>
      </c>
      <c r="B2836" t="s">
        <v>94</v>
      </c>
      <c r="C2836" s="22">
        <v>46257</v>
      </c>
      <c r="D2836" s="23">
        <v>53034</v>
      </c>
    </row>
    <row r="2837" spans="1:4">
      <c r="A2837" t="s">
        <v>18</v>
      </c>
      <c r="B2837" t="s">
        <v>171</v>
      </c>
      <c r="C2837" s="22">
        <v>46257</v>
      </c>
      <c r="D2837" s="23">
        <v>38674</v>
      </c>
    </row>
    <row r="2838" spans="1:4">
      <c r="A2838" t="s">
        <v>18</v>
      </c>
      <c r="B2838" t="s">
        <v>117</v>
      </c>
      <c r="C2838" s="22">
        <v>46257</v>
      </c>
      <c r="D2838" s="23">
        <v>34735</v>
      </c>
    </row>
    <row r="2839" spans="1:4">
      <c r="A2839" t="s">
        <v>18</v>
      </c>
      <c r="B2839" t="s">
        <v>162</v>
      </c>
      <c r="C2839" s="22">
        <v>46257</v>
      </c>
      <c r="D2839" s="23">
        <v>45901</v>
      </c>
    </row>
    <row r="2840" spans="1:4">
      <c r="A2840" t="s">
        <v>18</v>
      </c>
      <c r="B2840" t="s">
        <v>173</v>
      </c>
      <c r="C2840" s="22">
        <v>46257</v>
      </c>
      <c r="D2840" s="23">
        <v>34471</v>
      </c>
    </row>
    <row r="2841" spans="1:4">
      <c r="A2841" t="s">
        <v>18</v>
      </c>
      <c r="B2841" t="s">
        <v>128</v>
      </c>
      <c r="C2841" s="22">
        <v>46257</v>
      </c>
      <c r="D2841" s="23">
        <v>38147</v>
      </c>
    </row>
    <row r="2842" spans="1:4">
      <c r="A2842" t="s">
        <v>21</v>
      </c>
      <c r="B2842" t="s">
        <v>240</v>
      </c>
      <c r="C2842" s="22">
        <v>46258</v>
      </c>
      <c r="D2842" s="23">
        <v>23438</v>
      </c>
    </row>
    <row r="2843" spans="1:4">
      <c r="A2843" t="s">
        <v>21</v>
      </c>
      <c r="B2843" t="s">
        <v>139</v>
      </c>
      <c r="C2843" s="22">
        <v>46258</v>
      </c>
      <c r="D2843" s="23">
        <v>36711</v>
      </c>
    </row>
    <row r="2844" spans="1:4">
      <c r="A2844" t="s">
        <v>22</v>
      </c>
      <c r="B2844" t="s">
        <v>188</v>
      </c>
      <c r="C2844" s="22">
        <v>46258</v>
      </c>
      <c r="D2844" s="23">
        <v>30968</v>
      </c>
    </row>
    <row r="2845" spans="1:4">
      <c r="A2845" t="s">
        <v>22</v>
      </c>
      <c r="B2845" t="s">
        <v>213</v>
      </c>
      <c r="C2845" s="22">
        <v>46258</v>
      </c>
      <c r="D2845" s="23">
        <v>30272</v>
      </c>
    </row>
    <row r="2846" spans="1:4">
      <c r="A2846" t="s">
        <v>22</v>
      </c>
      <c r="B2846" t="s">
        <v>223</v>
      </c>
      <c r="C2846" s="22">
        <v>46258</v>
      </c>
      <c r="D2846" s="23">
        <v>23800</v>
      </c>
    </row>
    <row r="2847" spans="1:4">
      <c r="A2847" t="s">
        <v>20</v>
      </c>
      <c r="B2847" t="s">
        <v>171</v>
      </c>
      <c r="C2847" s="22">
        <v>46258</v>
      </c>
      <c r="D2847" s="23">
        <v>35874</v>
      </c>
    </row>
    <row r="2848" spans="1:4">
      <c r="A2848" t="s">
        <v>20</v>
      </c>
      <c r="B2848" t="s">
        <v>265</v>
      </c>
      <c r="C2848" s="22">
        <v>46258</v>
      </c>
      <c r="D2848" s="23">
        <v>19579</v>
      </c>
    </row>
    <row r="2849" spans="1:4">
      <c r="A2849" t="s">
        <v>18</v>
      </c>
      <c r="B2849" t="s">
        <v>64</v>
      </c>
      <c r="C2849" s="22">
        <v>46258</v>
      </c>
      <c r="D2849" s="23">
        <v>42471</v>
      </c>
    </row>
    <row r="2850" spans="1:4">
      <c r="A2850" t="s">
        <v>18</v>
      </c>
      <c r="B2850" t="s">
        <v>190</v>
      </c>
      <c r="C2850" s="22">
        <v>46258</v>
      </c>
      <c r="D2850" s="23">
        <v>44497</v>
      </c>
    </row>
    <row r="2851" spans="1:4">
      <c r="A2851" t="s">
        <v>18</v>
      </c>
      <c r="B2851" t="s">
        <v>56</v>
      </c>
      <c r="C2851" s="22">
        <v>46258</v>
      </c>
      <c r="D2851" s="23">
        <v>46015</v>
      </c>
    </row>
    <row r="2852" spans="1:4">
      <c r="A2852" t="s">
        <v>18</v>
      </c>
      <c r="B2852" t="s">
        <v>70</v>
      </c>
      <c r="C2852" s="22">
        <v>46258</v>
      </c>
      <c r="D2852" s="23">
        <v>29870</v>
      </c>
    </row>
    <row r="2853" spans="1:4">
      <c r="A2853" t="s">
        <v>18</v>
      </c>
      <c r="B2853" t="s">
        <v>162</v>
      </c>
      <c r="C2853" s="22">
        <v>46258</v>
      </c>
      <c r="D2853" s="23">
        <v>40400</v>
      </c>
    </row>
    <row r="2854" spans="1:4">
      <c r="A2854" t="s">
        <v>18</v>
      </c>
      <c r="B2854" t="s">
        <v>57</v>
      </c>
      <c r="C2854" s="22">
        <v>46258</v>
      </c>
      <c r="D2854" s="23">
        <v>35483</v>
      </c>
    </row>
    <row r="2855" spans="1:4">
      <c r="A2855" t="s">
        <v>18</v>
      </c>
      <c r="B2855" t="s">
        <v>58</v>
      </c>
      <c r="C2855" s="22">
        <v>46258</v>
      </c>
      <c r="D2855" s="23">
        <v>25507</v>
      </c>
    </row>
    <row r="2856" spans="1:4">
      <c r="A2856" t="s">
        <v>18</v>
      </c>
      <c r="B2856" t="s">
        <v>172</v>
      </c>
      <c r="C2856" s="22">
        <v>46258</v>
      </c>
      <c r="D2856" s="23">
        <v>59100</v>
      </c>
    </row>
    <row r="2857" spans="1:4">
      <c r="A2857" t="s">
        <v>18</v>
      </c>
      <c r="B2857" t="s">
        <v>53</v>
      </c>
      <c r="C2857" s="22">
        <v>46258</v>
      </c>
      <c r="D2857" s="23">
        <v>42843</v>
      </c>
    </row>
    <row r="2858" spans="1:4">
      <c r="A2858" t="s">
        <v>18</v>
      </c>
      <c r="B2858" t="s">
        <v>208</v>
      </c>
      <c r="C2858" s="22">
        <v>46258</v>
      </c>
      <c r="D2858" s="23">
        <v>39932</v>
      </c>
    </row>
    <row r="2859" spans="1:4">
      <c r="A2859" t="s">
        <v>18</v>
      </c>
      <c r="B2859" t="s">
        <v>208</v>
      </c>
      <c r="C2859" s="22">
        <v>46258</v>
      </c>
      <c r="D2859" s="23">
        <v>34409</v>
      </c>
    </row>
    <row r="2860" spans="1:4">
      <c r="A2860" t="s">
        <v>18</v>
      </c>
      <c r="B2860" t="s">
        <v>86</v>
      </c>
      <c r="C2860" s="22">
        <v>46258</v>
      </c>
      <c r="D2860" s="23">
        <v>35338</v>
      </c>
    </row>
    <row r="2861" spans="1:4">
      <c r="A2861" t="s">
        <v>28</v>
      </c>
      <c r="B2861" t="s">
        <v>210</v>
      </c>
      <c r="C2861" s="22">
        <v>46259</v>
      </c>
      <c r="D2861" s="23">
        <v>18322</v>
      </c>
    </row>
    <row r="2862" spans="1:4">
      <c r="A2862" t="s">
        <v>21</v>
      </c>
      <c r="B2862" t="s">
        <v>209</v>
      </c>
      <c r="C2862" s="22">
        <v>46259</v>
      </c>
      <c r="D2862" s="23">
        <v>40341</v>
      </c>
    </row>
    <row r="2863" spans="1:4">
      <c r="A2863" t="s">
        <v>21</v>
      </c>
      <c r="B2863" t="s">
        <v>131</v>
      </c>
      <c r="C2863" s="22">
        <v>46259</v>
      </c>
      <c r="D2863" s="23">
        <v>25090</v>
      </c>
    </row>
    <row r="2864" spans="1:4">
      <c r="A2864" t="s">
        <v>21</v>
      </c>
      <c r="B2864" t="s">
        <v>191</v>
      </c>
      <c r="C2864" s="22">
        <v>46259</v>
      </c>
      <c r="D2864" s="23">
        <v>26149</v>
      </c>
    </row>
    <row r="2865" spans="1:4">
      <c r="A2865" t="s">
        <v>33</v>
      </c>
      <c r="B2865" t="s">
        <v>242</v>
      </c>
      <c r="C2865" s="22">
        <v>46259</v>
      </c>
      <c r="D2865" s="23">
        <v>15916</v>
      </c>
    </row>
    <row r="2866" spans="1:4">
      <c r="A2866" t="s">
        <v>25</v>
      </c>
      <c r="B2866" t="s">
        <v>76</v>
      </c>
      <c r="C2866" s="22">
        <v>46259</v>
      </c>
      <c r="D2866" s="23">
        <v>15261</v>
      </c>
    </row>
    <row r="2867" spans="1:4">
      <c r="A2867" t="s">
        <v>23</v>
      </c>
      <c r="B2867" t="s">
        <v>233</v>
      </c>
      <c r="C2867" s="22">
        <v>46259</v>
      </c>
      <c r="D2867" s="23">
        <v>17746</v>
      </c>
    </row>
    <row r="2868" spans="1:4">
      <c r="A2868" t="s">
        <v>29</v>
      </c>
      <c r="B2868" t="s">
        <v>283</v>
      </c>
      <c r="C2868" s="22">
        <v>46259</v>
      </c>
      <c r="D2868" s="23">
        <v>14757</v>
      </c>
    </row>
    <row r="2869" spans="1:4">
      <c r="A2869" t="s">
        <v>22</v>
      </c>
      <c r="B2869" t="s">
        <v>206</v>
      </c>
      <c r="C2869" s="22">
        <v>46259</v>
      </c>
      <c r="D2869" s="23">
        <v>17957</v>
      </c>
    </row>
    <row r="2870" spans="1:4">
      <c r="A2870" t="s">
        <v>20</v>
      </c>
      <c r="B2870" t="s">
        <v>84</v>
      </c>
      <c r="C2870" s="22">
        <v>46259</v>
      </c>
      <c r="D2870" s="23">
        <v>37516</v>
      </c>
    </row>
    <row r="2871" spans="1:4">
      <c r="A2871" t="s">
        <v>20</v>
      </c>
      <c r="B2871" t="s">
        <v>199</v>
      </c>
      <c r="C2871" s="22">
        <v>46259</v>
      </c>
      <c r="D2871" s="23">
        <v>39627</v>
      </c>
    </row>
    <row r="2872" spans="1:4">
      <c r="A2872" t="s">
        <v>18</v>
      </c>
      <c r="B2872" t="s">
        <v>66</v>
      </c>
      <c r="C2872" s="22">
        <v>46259</v>
      </c>
      <c r="D2872" s="23">
        <v>35222</v>
      </c>
    </row>
    <row r="2873" spans="1:4">
      <c r="A2873" t="s">
        <v>18</v>
      </c>
      <c r="B2873" t="s">
        <v>190</v>
      </c>
      <c r="C2873" s="22">
        <v>46259</v>
      </c>
      <c r="D2873" s="23">
        <v>36613</v>
      </c>
    </row>
    <row r="2874" spans="1:4">
      <c r="A2874" t="s">
        <v>18</v>
      </c>
      <c r="B2874" t="s">
        <v>85</v>
      </c>
      <c r="C2874" s="22">
        <v>46259</v>
      </c>
      <c r="D2874" s="23">
        <v>26440</v>
      </c>
    </row>
    <row r="2875" spans="1:4">
      <c r="A2875" t="s">
        <v>28</v>
      </c>
      <c r="B2875" t="s">
        <v>202</v>
      </c>
      <c r="C2875" s="22">
        <v>46260</v>
      </c>
      <c r="D2875" s="23">
        <v>21142</v>
      </c>
    </row>
    <row r="2876" spans="1:4">
      <c r="A2876" t="s">
        <v>21</v>
      </c>
      <c r="B2876" t="s">
        <v>277</v>
      </c>
      <c r="C2876" s="22">
        <v>46260</v>
      </c>
      <c r="D2876" s="23">
        <v>8846</v>
      </c>
    </row>
    <row r="2877" spans="1:4">
      <c r="A2877" t="s">
        <v>31</v>
      </c>
      <c r="B2877" t="s">
        <v>111</v>
      </c>
      <c r="C2877" s="22">
        <v>46260</v>
      </c>
      <c r="D2877" s="23">
        <v>10612</v>
      </c>
    </row>
    <row r="2878" spans="1:4">
      <c r="A2878" t="s">
        <v>31</v>
      </c>
      <c r="B2878" t="s">
        <v>273</v>
      </c>
      <c r="C2878" s="22">
        <v>46260</v>
      </c>
      <c r="D2878" s="23">
        <v>30542</v>
      </c>
    </row>
    <row r="2879" spans="1:4">
      <c r="A2879" t="s">
        <v>40</v>
      </c>
      <c r="B2879" t="s">
        <v>88</v>
      </c>
      <c r="C2879" s="22">
        <v>46260</v>
      </c>
      <c r="D2879" s="23">
        <v>9438</v>
      </c>
    </row>
    <row r="2880" spans="1:4">
      <c r="A2880" t="s">
        <v>29</v>
      </c>
      <c r="B2880" t="s">
        <v>79</v>
      </c>
      <c r="C2880" s="22">
        <v>46260</v>
      </c>
      <c r="D2880" s="23">
        <v>16471</v>
      </c>
    </row>
    <row r="2881" spans="1:4">
      <c r="A2881" t="s">
        <v>20</v>
      </c>
      <c r="B2881" t="s">
        <v>90</v>
      </c>
      <c r="C2881" s="22">
        <v>46260</v>
      </c>
      <c r="D2881" s="23">
        <v>29833</v>
      </c>
    </row>
    <row r="2882" spans="1:4">
      <c r="A2882" t="s">
        <v>20</v>
      </c>
      <c r="B2882" t="s">
        <v>229</v>
      </c>
      <c r="C2882" s="22">
        <v>46260</v>
      </c>
      <c r="D2882" s="23">
        <v>34356</v>
      </c>
    </row>
    <row r="2883" spans="1:4">
      <c r="A2883" t="s">
        <v>20</v>
      </c>
      <c r="B2883" t="s">
        <v>104</v>
      </c>
      <c r="C2883" s="22">
        <v>46260</v>
      </c>
      <c r="D2883" s="23">
        <v>40244</v>
      </c>
    </row>
    <row r="2884" spans="1:4">
      <c r="A2884" t="s">
        <v>18</v>
      </c>
      <c r="B2884" t="s">
        <v>192</v>
      </c>
      <c r="C2884" s="22">
        <v>46260</v>
      </c>
      <c r="D2884" s="23">
        <v>46832</v>
      </c>
    </row>
    <row r="2885" spans="1:4">
      <c r="A2885" t="s">
        <v>18</v>
      </c>
      <c r="B2885" t="s">
        <v>199</v>
      </c>
      <c r="C2885" s="22">
        <v>46260</v>
      </c>
      <c r="D2885" s="23">
        <v>34066</v>
      </c>
    </row>
    <row r="2886" spans="1:4">
      <c r="A2886" t="s">
        <v>26</v>
      </c>
      <c r="B2886" t="s">
        <v>278</v>
      </c>
      <c r="C2886" s="22">
        <v>46261</v>
      </c>
      <c r="D2886" s="23">
        <v>18639</v>
      </c>
    </row>
    <row r="2887" spans="1:4">
      <c r="A2887" t="s">
        <v>29</v>
      </c>
      <c r="B2887" t="s">
        <v>222</v>
      </c>
      <c r="C2887" s="22">
        <v>46261</v>
      </c>
      <c r="D2887" s="23">
        <v>9863</v>
      </c>
    </row>
    <row r="2888" spans="1:4">
      <c r="A2888" t="s">
        <v>20</v>
      </c>
      <c r="B2888" t="s">
        <v>102</v>
      </c>
      <c r="C2888" s="22">
        <v>46261</v>
      </c>
      <c r="D2888" s="23">
        <v>31647</v>
      </c>
    </row>
    <row r="2889" spans="1:4">
      <c r="A2889" t="s">
        <v>20</v>
      </c>
      <c r="B2889" t="s">
        <v>250</v>
      </c>
      <c r="C2889" s="22">
        <v>46261</v>
      </c>
      <c r="D2889" s="23">
        <v>27457</v>
      </c>
    </row>
    <row r="2890" spans="1:4">
      <c r="A2890" t="s">
        <v>20</v>
      </c>
      <c r="B2890" t="s">
        <v>215</v>
      </c>
      <c r="C2890" s="22">
        <v>46261</v>
      </c>
      <c r="D2890" s="23">
        <v>27278</v>
      </c>
    </row>
    <row r="2891" spans="1:4">
      <c r="A2891" t="s">
        <v>18</v>
      </c>
      <c r="B2891" t="s">
        <v>68</v>
      </c>
      <c r="C2891" s="22">
        <v>46261</v>
      </c>
      <c r="D2891" s="23">
        <v>41631</v>
      </c>
    </row>
    <row r="2892" spans="1:4">
      <c r="A2892" t="s">
        <v>18</v>
      </c>
      <c r="B2892" t="s">
        <v>118</v>
      </c>
      <c r="C2892" s="22">
        <v>46261</v>
      </c>
      <c r="D2892" s="23">
        <v>33031</v>
      </c>
    </row>
    <row r="2893" spans="1:4">
      <c r="A2893" t="s">
        <v>18</v>
      </c>
      <c r="B2893" t="s">
        <v>129</v>
      </c>
      <c r="C2893" s="22">
        <v>46261</v>
      </c>
      <c r="D2893" s="23">
        <v>42665</v>
      </c>
    </row>
    <row r="2894" spans="1:4">
      <c r="A2894" t="s">
        <v>18</v>
      </c>
      <c r="B2894" t="s">
        <v>71</v>
      </c>
      <c r="C2894" s="22">
        <v>46261</v>
      </c>
      <c r="D2894" s="23">
        <v>47019</v>
      </c>
    </row>
    <row r="2895" spans="1:4">
      <c r="A2895" t="s">
        <v>37</v>
      </c>
      <c r="B2895" t="s">
        <v>269</v>
      </c>
      <c r="C2895" s="22">
        <v>46262</v>
      </c>
      <c r="D2895" s="23">
        <v>13142</v>
      </c>
    </row>
    <row r="2896" spans="1:4">
      <c r="A2896" t="s">
        <v>21</v>
      </c>
      <c r="B2896" t="s">
        <v>116</v>
      </c>
      <c r="C2896" s="22">
        <v>46262</v>
      </c>
      <c r="D2896" s="23">
        <v>31269</v>
      </c>
    </row>
    <row r="2897" spans="1:4">
      <c r="A2897" t="s">
        <v>21</v>
      </c>
      <c r="B2897" t="s">
        <v>119</v>
      </c>
      <c r="C2897" s="22">
        <v>46262</v>
      </c>
      <c r="D2897" s="23">
        <v>35424</v>
      </c>
    </row>
    <row r="2898" spans="1:4">
      <c r="A2898" t="s">
        <v>21</v>
      </c>
      <c r="B2898" t="s">
        <v>224</v>
      </c>
      <c r="C2898" s="22">
        <v>46262</v>
      </c>
      <c r="D2898" s="23">
        <v>48145</v>
      </c>
    </row>
    <row r="2899" spans="1:4">
      <c r="A2899" t="s">
        <v>33</v>
      </c>
      <c r="B2899" t="s">
        <v>154</v>
      </c>
      <c r="C2899" s="22">
        <v>46262</v>
      </c>
      <c r="D2899" s="23">
        <v>13577</v>
      </c>
    </row>
    <row r="2900" spans="1:4">
      <c r="A2900" t="s">
        <v>33</v>
      </c>
      <c r="B2900" t="s">
        <v>236</v>
      </c>
      <c r="C2900" s="22">
        <v>46262</v>
      </c>
      <c r="D2900" s="23">
        <v>13909</v>
      </c>
    </row>
    <row r="2901" spans="1:4">
      <c r="A2901" t="s">
        <v>31</v>
      </c>
      <c r="B2901" t="s">
        <v>151</v>
      </c>
      <c r="C2901" s="22">
        <v>46262</v>
      </c>
      <c r="D2901" s="23">
        <v>15435</v>
      </c>
    </row>
    <row r="2902" spans="1:4">
      <c r="A2902" t="s">
        <v>25</v>
      </c>
      <c r="B2902" t="s">
        <v>132</v>
      </c>
      <c r="C2902" s="22">
        <v>46262</v>
      </c>
      <c r="D2902" s="23">
        <v>24053</v>
      </c>
    </row>
    <row r="2903" spans="1:4">
      <c r="A2903" t="s">
        <v>25</v>
      </c>
      <c r="B2903" t="s">
        <v>113</v>
      </c>
      <c r="C2903" s="22">
        <v>46262</v>
      </c>
      <c r="D2903" s="23">
        <v>19758</v>
      </c>
    </row>
    <row r="2904" spans="1:4">
      <c r="A2904" t="s">
        <v>22</v>
      </c>
      <c r="B2904" t="s">
        <v>184</v>
      </c>
      <c r="C2904" s="22">
        <v>46262</v>
      </c>
      <c r="D2904" s="23">
        <v>33655</v>
      </c>
    </row>
    <row r="2905" spans="1:4">
      <c r="A2905" t="s">
        <v>38</v>
      </c>
      <c r="B2905" t="s">
        <v>157</v>
      </c>
      <c r="C2905" s="22">
        <v>46262</v>
      </c>
      <c r="D2905" s="23">
        <v>13733</v>
      </c>
    </row>
    <row r="2906" spans="1:4">
      <c r="A2906" t="s">
        <v>20</v>
      </c>
      <c r="B2906" t="s">
        <v>197</v>
      </c>
      <c r="C2906" s="22">
        <v>46262</v>
      </c>
      <c r="D2906" s="23">
        <v>46921</v>
      </c>
    </row>
    <row r="2907" spans="1:4">
      <c r="A2907" t="s">
        <v>18</v>
      </c>
      <c r="B2907" t="s">
        <v>55</v>
      </c>
      <c r="C2907" s="22">
        <v>46262</v>
      </c>
      <c r="D2907" s="23">
        <v>39371</v>
      </c>
    </row>
    <row r="2908" spans="1:4">
      <c r="A2908" t="s">
        <v>18</v>
      </c>
      <c r="B2908" t="s">
        <v>117</v>
      </c>
      <c r="C2908" s="22">
        <v>46262</v>
      </c>
      <c r="D2908" s="23">
        <v>33789</v>
      </c>
    </row>
    <row r="2909" spans="1:4">
      <c r="A2909" t="s">
        <v>18</v>
      </c>
      <c r="B2909" t="s">
        <v>70</v>
      </c>
      <c r="C2909" s="22">
        <v>46262</v>
      </c>
      <c r="D2909" s="23">
        <v>26967</v>
      </c>
    </row>
    <row r="2910" spans="1:4">
      <c r="A2910" t="s">
        <v>18</v>
      </c>
      <c r="B2910" t="s">
        <v>57</v>
      </c>
      <c r="C2910" s="22">
        <v>46262</v>
      </c>
      <c r="D2910" s="23">
        <v>30887</v>
      </c>
    </row>
    <row r="2911" spans="1:4">
      <c r="A2911" t="s">
        <v>18</v>
      </c>
      <c r="B2911" t="s">
        <v>118</v>
      </c>
      <c r="C2911" s="22">
        <v>46262</v>
      </c>
      <c r="D2911" s="23">
        <v>37923</v>
      </c>
    </row>
    <row r="2912" spans="1:4">
      <c r="A2912" t="s">
        <v>18</v>
      </c>
      <c r="B2912" t="s">
        <v>71</v>
      </c>
      <c r="C2912" s="22">
        <v>46262</v>
      </c>
      <c r="D2912" s="23">
        <v>31537</v>
      </c>
    </row>
    <row r="2913" spans="1:4">
      <c r="A2913" t="s">
        <v>18</v>
      </c>
      <c r="B2913" t="s">
        <v>224</v>
      </c>
      <c r="C2913" s="22">
        <v>46262</v>
      </c>
      <c r="D2913" s="23">
        <v>47949</v>
      </c>
    </row>
    <row r="2914" spans="1:4">
      <c r="A2914" t="s">
        <v>18</v>
      </c>
      <c r="B2914" t="s">
        <v>72</v>
      </c>
      <c r="C2914" s="22">
        <v>46262</v>
      </c>
      <c r="D2914" s="23">
        <v>52290</v>
      </c>
    </row>
    <row r="2915" spans="1:4">
      <c r="A2915" t="s">
        <v>18</v>
      </c>
      <c r="B2915" t="s">
        <v>97</v>
      </c>
      <c r="C2915" s="22">
        <v>46262</v>
      </c>
      <c r="D2915" s="23">
        <v>43409</v>
      </c>
    </row>
    <row r="2916" spans="1:4">
      <c r="A2916" t="s">
        <v>21</v>
      </c>
      <c r="B2916" t="s">
        <v>75</v>
      </c>
      <c r="C2916" s="22">
        <v>46263</v>
      </c>
      <c r="D2916" s="23">
        <v>36878</v>
      </c>
    </row>
    <row r="2917" spans="1:4">
      <c r="A2917" t="s">
        <v>21</v>
      </c>
      <c r="B2917" t="s">
        <v>252</v>
      </c>
      <c r="C2917" s="22">
        <v>46263</v>
      </c>
      <c r="D2917" s="23">
        <v>27733</v>
      </c>
    </row>
    <row r="2918" spans="1:4">
      <c r="A2918" t="s">
        <v>21</v>
      </c>
      <c r="B2918" t="s">
        <v>140</v>
      </c>
      <c r="C2918" s="22">
        <v>46263</v>
      </c>
      <c r="D2918" s="23">
        <v>35431</v>
      </c>
    </row>
    <row r="2919" spans="1:4">
      <c r="A2919" t="s">
        <v>27</v>
      </c>
      <c r="B2919" t="s">
        <v>166</v>
      </c>
      <c r="C2919" s="22">
        <v>46263</v>
      </c>
      <c r="D2919" s="23">
        <v>15814</v>
      </c>
    </row>
    <row r="2920" spans="1:4">
      <c r="A2920" t="s">
        <v>25</v>
      </c>
      <c r="B2920" t="s">
        <v>244</v>
      </c>
      <c r="C2920" s="22">
        <v>46263</v>
      </c>
      <c r="D2920" s="23">
        <v>27397</v>
      </c>
    </row>
    <row r="2921" spans="1:4">
      <c r="A2921" t="s">
        <v>25</v>
      </c>
      <c r="B2921" t="s">
        <v>245</v>
      </c>
      <c r="C2921" s="22">
        <v>46263</v>
      </c>
      <c r="D2921" s="23">
        <v>17336</v>
      </c>
    </row>
    <row r="2922" spans="1:4">
      <c r="A2922" t="s">
        <v>36</v>
      </c>
      <c r="B2922" t="s">
        <v>74</v>
      </c>
      <c r="C2922" s="22">
        <v>46263</v>
      </c>
      <c r="D2922" s="23">
        <v>25049</v>
      </c>
    </row>
    <row r="2923" spans="1:4">
      <c r="A2923" t="s">
        <v>29</v>
      </c>
      <c r="B2923" t="s">
        <v>227</v>
      </c>
      <c r="C2923" s="22">
        <v>46263</v>
      </c>
      <c r="D2923" s="23">
        <v>10250</v>
      </c>
    </row>
    <row r="2924" spans="1:4">
      <c r="A2924" t="s">
        <v>29</v>
      </c>
      <c r="B2924" t="s">
        <v>141</v>
      </c>
      <c r="C2924" s="22">
        <v>46263</v>
      </c>
      <c r="D2924" s="23">
        <v>13142</v>
      </c>
    </row>
    <row r="2925" spans="1:4">
      <c r="A2925" t="s">
        <v>22</v>
      </c>
      <c r="B2925" t="s">
        <v>249</v>
      </c>
      <c r="C2925" s="22">
        <v>46263</v>
      </c>
      <c r="D2925" s="23">
        <v>29221</v>
      </c>
    </row>
    <row r="2926" spans="1:4">
      <c r="A2926" t="s">
        <v>18</v>
      </c>
      <c r="B2926" t="s">
        <v>54</v>
      </c>
      <c r="C2926" s="22">
        <v>46263</v>
      </c>
      <c r="D2926" s="23">
        <v>32994</v>
      </c>
    </row>
    <row r="2927" spans="1:4">
      <c r="A2927" t="s">
        <v>18</v>
      </c>
      <c r="B2927" t="s">
        <v>106</v>
      </c>
      <c r="C2927" s="22">
        <v>46263</v>
      </c>
      <c r="D2927" s="23">
        <v>34675</v>
      </c>
    </row>
    <row r="2928" spans="1:4">
      <c r="A2928" t="s">
        <v>18</v>
      </c>
      <c r="B2928" t="s">
        <v>55</v>
      </c>
      <c r="C2928" s="22">
        <v>46263</v>
      </c>
      <c r="D2928" s="23">
        <v>46322</v>
      </c>
    </row>
    <row r="2929" spans="1:4">
      <c r="A2929" t="s">
        <v>18</v>
      </c>
      <c r="B2929" t="s">
        <v>107</v>
      </c>
      <c r="C2929" s="22">
        <v>46263</v>
      </c>
      <c r="D2929" s="23">
        <v>43533</v>
      </c>
    </row>
    <row r="2930" spans="1:4">
      <c r="A2930" t="s">
        <v>21</v>
      </c>
      <c r="B2930" t="s">
        <v>252</v>
      </c>
      <c r="C2930" s="22">
        <v>46264</v>
      </c>
      <c r="D2930" s="23">
        <v>27451</v>
      </c>
    </row>
    <row r="2931" spans="1:4">
      <c r="A2931" t="s">
        <v>31</v>
      </c>
      <c r="B2931" t="s">
        <v>60</v>
      </c>
      <c r="C2931" s="22">
        <v>46264</v>
      </c>
      <c r="D2931" s="23">
        <v>13579</v>
      </c>
    </row>
    <row r="2932" spans="1:4">
      <c r="A2932" t="s">
        <v>27</v>
      </c>
      <c r="B2932" t="s">
        <v>194</v>
      </c>
      <c r="C2932" s="22">
        <v>46264</v>
      </c>
      <c r="D2932" s="23">
        <v>16481</v>
      </c>
    </row>
    <row r="2933" spans="1:4">
      <c r="A2933" t="s">
        <v>32</v>
      </c>
      <c r="B2933" t="s">
        <v>178</v>
      </c>
      <c r="C2933" s="22">
        <v>46264</v>
      </c>
      <c r="D2933" s="23">
        <v>10493</v>
      </c>
    </row>
    <row r="2934" spans="1:4">
      <c r="A2934" t="s">
        <v>25</v>
      </c>
      <c r="B2934" t="s">
        <v>211</v>
      </c>
      <c r="C2934" s="22">
        <v>46264</v>
      </c>
      <c r="D2934" s="23">
        <v>20087</v>
      </c>
    </row>
    <row r="2935" spans="1:4">
      <c r="A2935" t="s">
        <v>25</v>
      </c>
      <c r="B2935" t="s">
        <v>228</v>
      </c>
      <c r="C2935" s="22">
        <v>46264</v>
      </c>
      <c r="D2935" s="23">
        <v>20901</v>
      </c>
    </row>
    <row r="2936" spans="1:4">
      <c r="A2936" t="s">
        <v>23</v>
      </c>
      <c r="B2936" t="s">
        <v>221</v>
      </c>
      <c r="C2936" s="22">
        <v>46264</v>
      </c>
      <c r="D2936" s="23">
        <v>18765</v>
      </c>
    </row>
    <row r="2937" spans="1:4">
      <c r="A2937" t="s">
        <v>29</v>
      </c>
      <c r="B2937" t="s">
        <v>124</v>
      </c>
      <c r="C2937" s="22">
        <v>46264</v>
      </c>
      <c r="D2937" s="23">
        <v>20921</v>
      </c>
    </row>
    <row r="2938" spans="1:4">
      <c r="A2938" t="s">
        <v>22</v>
      </c>
      <c r="B2938" t="s">
        <v>134</v>
      </c>
      <c r="C2938" s="22">
        <v>46264</v>
      </c>
      <c r="D2938" s="23">
        <v>25321</v>
      </c>
    </row>
    <row r="2939" spans="1:4">
      <c r="A2939" t="s">
        <v>22</v>
      </c>
      <c r="B2939" t="s">
        <v>238</v>
      </c>
      <c r="C2939" s="22">
        <v>46264</v>
      </c>
      <c r="D2939" s="23">
        <v>25582</v>
      </c>
    </row>
    <row r="2940" spans="1:4">
      <c r="A2940" t="s">
        <v>20</v>
      </c>
      <c r="B2940" t="s">
        <v>189</v>
      </c>
      <c r="C2940" s="22">
        <v>46264</v>
      </c>
      <c r="D2940" s="23">
        <v>30126</v>
      </c>
    </row>
    <row r="2941" spans="1:4">
      <c r="A2941" t="s">
        <v>20</v>
      </c>
      <c r="B2941" t="s">
        <v>115</v>
      </c>
      <c r="C2941" s="22">
        <v>46264</v>
      </c>
      <c r="D2941" s="23">
        <v>32461</v>
      </c>
    </row>
    <row r="2942" spans="1:4">
      <c r="A2942" t="s">
        <v>20</v>
      </c>
      <c r="B2942" t="s">
        <v>104</v>
      </c>
      <c r="C2942" s="22">
        <v>46264</v>
      </c>
      <c r="D2942" s="23">
        <v>40882</v>
      </c>
    </row>
    <row r="2943" spans="1:4">
      <c r="A2943" t="s">
        <v>18</v>
      </c>
      <c r="B2943" t="s">
        <v>159</v>
      </c>
      <c r="C2943" s="22">
        <v>46264</v>
      </c>
      <c r="D2943" s="23">
        <v>44841</v>
      </c>
    </row>
    <row r="2944" spans="1:4">
      <c r="A2944" t="s">
        <v>18</v>
      </c>
      <c r="B2944" t="s">
        <v>224</v>
      </c>
      <c r="C2944" s="22">
        <v>46264</v>
      </c>
      <c r="D2944" s="23">
        <v>53937</v>
      </c>
    </row>
    <row r="2945" spans="1:4">
      <c r="A2945" t="s">
        <v>18</v>
      </c>
      <c r="B2945" t="s">
        <v>108</v>
      </c>
      <c r="C2945" s="22">
        <v>46264</v>
      </c>
      <c r="D2945" s="23">
        <v>37463</v>
      </c>
    </row>
    <row r="2946" spans="1:4">
      <c r="A2946" t="s">
        <v>33</v>
      </c>
      <c r="B2946" t="s">
        <v>149</v>
      </c>
      <c r="C2946" s="22">
        <v>46265</v>
      </c>
      <c r="D2946" s="23">
        <v>13986</v>
      </c>
    </row>
    <row r="2947" spans="1:4">
      <c r="A2947" t="s">
        <v>26</v>
      </c>
      <c r="B2947" t="s">
        <v>255</v>
      </c>
      <c r="C2947" s="22">
        <v>46265</v>
      </c>
      <c r="D2947" s="23">
        <v>9514</v>
      </c>
    </row>
    <row r="2948" spans="1:4">
      <c r="A2948" t="s">
        <v>32</v>
      </c>
      <c r="B2948" t="s">
        <v>156</v>
      </c>
      <c r="C2948" s="22">
        <v>46265</v>
      </c>
      <c r="D2948" s="23">
        <v>14170</v>
      </c>
    </row>
    <row r="2949" spans="1:4">
      <c r="A2949" t="s">
        <v>25</v>
      </c>
      <c r="B2949" t="s">
        <v>181</v>
      </c>
      <c r="C2949" s="22">
        <v>46265</v>
      </c>
      <c r="D2949" s="23">
        <v>18384</v>
      </c>
    </row>
    <row r="2950" spans="1:4">
      <c r="A2950" t="s">
        <v>22</v>
      </c>
      <c r="B2950" t="s">
        <v>231</v>
      </c>
      <c r="C2950" s="22">
        <v>46265</v>
      </c>
      <c r="D2950" s="23">
        <v>25937</v>
      </c>
    </row>
    <row r="2951" spans="1:4">
      <c r="A2951" t="s">
        <v>20</v>
      </c>
      <c r="B2951" t="s">
        <v>54</v>
      </c>
      <c r="C2951" s="22">
        <v>46265</v>
      </c>
      <c r="D2951" s="23">
        <v>37538</v>
      </c>
    </row>
    <row r="2952" spans="1:4">
      <c r="A2952" t="s">
        <v>20</v>
      </c>
      <c r="B2952" t="s">
        <v>230</v>
      </c>
      <c r="C2952" s="22">
        <v>46265</v>
      </c>
      <c r="D2952" s="23">
        <v>44113</v>
      </c>
    </row>
    <row r="2953" spans="1:4">
      <c r="A2953" t="s">
        <v>20</v>
      </c>
      <c r="B2953" t="s">
        <v>116</v>
      </c>
      <c r="C2953" s="22">
        <v>46265</v>
      </c>
      <c r="D2953" s="23">
        <v>24158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D27"/>
  <sheetViews>
    <sheetView zoomScale="72" zoomScaleNormal="72" topLeftCell="B1" workbookViewId="0">
      <selection activeCell="H22" sqref="H22"/>
    </sheetView>
  </sheetViews>
  <sheetFormatPr defaultColWidth="9" defaultRowHeight="14.25" outlineLevelCol="3"/>
  <cols>
    <col min="1" max="1" width="7.42477876106195" customWidth="1"/>
    <col min="2" max="2" width="43.283185840708" customWidth="1"/>
    <col min="3" max="4" width="12.5663716814159" customWidth="1"/>
  </cols>
  <sheetData>
    <row r="7" ht="42.75" spans="1:4">
      <c r="B7" s="14" t="s">
        <v>284</v>
      </c>
      <c r="C7" s="15" t="s">
        <v>285</v>
      </c>
      <c r="D7" s="15" t="s">
        <v>286</v>
      </c>
    </row>
    <row r="8" spans="1:4">
      <c r="A8">
        <v>1</v>
      </c>
      <c r="B8" s="11" t="s">
        <v>37</v>
      </c>
      <c r="C8" s="16" t="str">
        <f>VLOOKUP(B8,'АВС Менеджеры сумма'!$A$23:$J$42,10,0)</f>
        <v>С</v>
      </c>
      <c r="D8" s="16" t="str">
        <f>VLOOKUP(B8,'АВС Менеджеры сделки'!$A$24:$J$43,10,0)</f>
        <v>С</v>
      </c>
    </row>
    <row r="9" spans="1:4">
      <c r="A9">
        <v>2</v>
      </c>
      <c r="B9" s="17" t="s">
        <v>28</v>
      </c>
      <c r="C9" s="18" t="str">
        <f>VLOOKUP(B9,'АВС Менеджеры сумма'!$A$23:$J$42,10,0)</f>
        <v>В</v>
      </c>
      <c r="D9" s="18" t="str">
        <f>VLOOKUP(B9,'АВС Менеджеры сделки'!$A$24:$J$43,10,0)</f>
        <v>В</v>
      </c>
    </row>
    <row r="10" spans="1:4">
      <c r="A10">
        <v>3</v>
      </c>
      <c r="B10" s="11" t="s">
        <v>39</v>
      </c>
      <c r="C10" s="16" t="str">
        <f>VLOOKUP(B10,'АВС Менеджеры сумма'!$A$23:$J$42,10,0)</f>
        <v>С</v>
      </c>
      <c r="D10" s="16" t="str">
        <f>VLOOKUP(B10,'АВС Менеджеры сделки'!$A$24:$J$43,10,0)</f>
        <v>С</v>
      </c>
    </row>
    <row r="11" spans="1:4">
      <c r="A11">
        <v>4</v>
      </c>
      <c r="B11" s="17" t="s">
        <v>21</v>
      </c>
      <c r="C11" s="19" t="str">
        <f>VLOOKUP(B11,'АВС Менеджеры сумма'!$A$23:$J$42,10,0)</f>
        <v>А</v>
      </c>
      <c r="D11" s="19" t="str">
        <f>VLOOKUP(B11,'АВС Менеджеры сделки'!$A$24:$J$43,10,0)</f>
        <v>А</v>
      </c>
    </row>
    <row r="12" spans="1:4">
      <c r="A12">
        <v>5</v>
      </c>
      <c r="B12" s="11" t="s">
        <v>33</v>
      </c>
      <c r="C12" s="16" t="str">
        <f>VLOOKUP(B12,'АВС Менеджеры сумма'!$A$23:$J$42,10,0)</f>
        <v>С</v>
      </c>
      <c r="D12" s="16" t="str">
        <f>VLOOKUP(B12,'АВС Менеджеры сделки'!$A$24:$J$43,10,0)</f>
        <v>С</v>
      </c>
    </row>
    <row r="13" spans="1:4">
      <c r="A13">
        <v>6</v>
      </c>
      <c r="B13" s="17" t="s">
        <v>26</v>
      </c>
      <c r="C13" s="18" t="str">
        <f>VLOOKUP(B13,'АВС Менеджеры сумма'!$A$23:$J$42,10,0)</f>
        <v>В</v>
      </c>
      <c r="D13" s="18" t="str">
        <f>VLOOKUP(B13,'АВС Менеджеры сделки'!$A$24:$J$43,10,0)</f>
        <v>В</v>
      </c>
    </row>
    <row r="14" spans="1:4">
      <c r="A14">
        <v>7</v>
      </c>
      <c r="B14" s="11" t="s">
        <v>31</v>
      </c>
      <c r="C14" s="16" t="str">
        <f>VLOOKUP(B14,'АВС Менеджеры сумма'!$A$23:$J$42,10,0)</f>
        <v>С</v>
      </c>
      <c r="D14" s="18" t="str">
        <f>VLOOKUP(B14,'АВС Менеджеры сделки'!$A$24:$J$43,10,0)</f>
        <v>В</v>
      </c>
    </row>
    <row r="15" spans="1:4">
      <c r="A15">
        <v>8</v>
      </c>
      <c r="B15" s="11" t="s">
        <v>40</v>
      </c>
      <c r="C15" s="16" t="str">
        <f>VLOOKUP(B15,'АВС Менеджеры сумма'!$A$23:$J$42,10,0)</f>
        <v>С</v>
      </c>
      <c r="D15" s="16" t="str">
        <f>VLOOKUP(B15,'АВС Менеджеры сделки'!$A$24:$J$43,10,0)</f>
        <v>С</v>
      </c>
    </row>
    <row r="16" spans="1:4">
      <c r="A16">
        <v>9</v>
      </c>
      <c r="B16" s="17" t="s">
        <v>27</v>
      </c>
      <c r="C16" s="18" t="str">
        <f>VLOOKUP(B16,'АВС Менеджеры сумма'!$A$23:$J$42,10,0)</f>
        <v>В</v>
      </c>
      <c r="D16" s="18" t="str">
        <f>VLOOKUP(B16,'АВС Менеджеры сделки'!$A$24:$J$43,10,0)</f>
        <v>В</v>
      </c>
    </row>
    <row r="17" spans="1:4">
      <c r="A17">
        <v>10</v>
      </c>
      <c r="B17" s="11" t="s">
        <v>32</v>
      </c>
      <c r="C17" s="16" t="str">
        <f>VLOOKUP(B17,'АВС Менеджеры сумма'!$A$23:$J$42,10,0)</f>
        <v>С</v>
      </c>
      <c r="D17" s="18" t="str">
        <f>VLOOKUP(B17,'АВС Менеджеры сделки'!$A$24:$J$43,10,0)</f>
        <v>В</v>
      </c>
    </row>
    <row r="18" spans="1:4">
      <c r="A18">
        <v>11</v>
      </c>
      <c r="B18" s="17" t="s">
        <v>25</v>
      </c>
      <c r="C18" s="18" t="str">
        <f>VLOOKUP(B18,'АВС Менеджеры сумма'!$A$23:$J$42,10,0)</f>
        <v>В</v>
      </c>
      <c r="D18" s="18" t="str">
        <f>VLOOKUP(B18,'АВС Менеджеры сделки'!$A$24:$J$43,10,0)</f>
        <v>В</v>
      </c>
    </row>
    <row r="19" spans="1:4">
      <c r="A19">
        <v>12</v>
      </c>
      <c r="B19" s="11" t="s">
        <v>34</v>
      </c>
      <c r="C19" s="16" t="str">
        <f>VLOOKUP(B19,'АВС Менеджеры сумма'!$A$23:$J$42,10,0)</f>
        <v>С</v>
      </c>
      <c r="D19" s="16" t="str">
        <f>VLOOKUP(B19,'АВС Менеджеры сделки'!$A$24:$J$43,10,0)</f>
        <v>С</v>
      </c>
    </row>
    <row r="20" spans="1:4">
      <c r="A20">
        <v>13</v>
      </c>
      <c r="B20" s="11" t="s">
        <v>36</v>
      </c>
      <c r="C20" s="16" t="str">
        <f>VLOOKUP(B20,'АВС Менеджеры сумма'!$A$23:$J$42,10,0)</f>
        <v>С</v>
      </c>
      <c r="D20" s="16" t="str">
        <f>VLOOKUP(B20,'АВС Менеджеры сделки'!$A$24:$J$43,10,0)</f>
        <v>С</v>
      </c>
    </row>
    <row r="21" spans="1:4">
      <c r="A21">
        <v>14</v>
      </c>
      <c r="B21" s="11" t="s">
        <v>23</v>
      </c>
      <c r="C21" s="18" t="str">
        <f>VLOOKUP(B21,'АВС Менеджеры сумма'!$A$23:$J$42,10,0)</f>
        <v>В</v>
      </c>
      <c r="D21" s="19" t="str">
        <f>VLOOKUP(B21,'АВС Менеджеры сделки'!$A$24:$J$43,10,0)</f>
        <v>А</v>
      </c>
    </row>
    <row r="22" spans="1:4">
      <c r="A22">
        <v>15</v>
      </c>
      <c r="B22" s="11" t="s">
        <v>35</v>
      </c>
      <c r="C22" s="16" t="str">
        <f>VLOOKUP(B22,'АВС Менеджеры сумма'!$A$23:$J$42,10,0)</f>
        <v>С</v>
      </c>
      <c r="D22" s="16" t="str">
        <f>VLOOKUP(B22,'АВС Менеджеры сделки'!$A$24:$J$43,10,0)</f>
        <v>С</v>
      </c>
    </row>
    <row r="23" spans="1:4">
      <c r="A23">
        <v>16</v>
      </c>
      <c r="B23" s="11" t="s">
        <v>29</v>
      </c>
      <c r="C23" s="16" t="str">
        <f>VLOOKUP(B23,'АВС Менеджеры сумма'!$A$23:$J$42,10,0)</f>
        <v>С</v>
      </c>
      <c r="D23" s="18" t="str">
        <f>VLOOKUP(B23,'АВС Менеджеры сделки'!$A$24:$J$43,10,0)</f>
        <v>В</v>
      </c>
    </row>
    <row r="24" spans="1:4">
      <c r="A24">
        <v>17</v>
      </c>
      <c r="B24" s="17" t="s">
        <v>22</v>
      </c>
      <c r="C24" s="19" t="str">
        <f>VLOOKUP(B24,'АВС Менеджеры сумма'!$A$23:$J$42,10,0)</f>
        <v>А</v>
      </c>
      <c r="D24" s="19" t="str">
        <f>VLOOKUP(B24,'АВС Менеджеры сделки'!$A$24:$J$43,10,0)</f>
        <v>А</v>
      </c>
    </row>
    <row r="25" spans="1:4">
      <c r="A25">
        <v>18</v>
      </c>
      <c r="B25" s="11" t="s">
        <v>38</v>
      </c>
      <c r="C25" s="16" t="str">
        <f>VLOOKUP(B25,'АВС Менеджеры сумма'!$A$23:$J$42,10,0)</f>
        <v>С</v>
      </c>
      <c r="D25" s="16" t="str">
        <f>VLOOKUP(B25,'АВС Менеджеры сделки'!$A$24:$J$43,10,0)</f>
        <v>С</v>
      </c>
    </row>
    <row r="26" spans="1:4">
      <c r="A26">
        <v>19</v>
      </c>
      <c r="B26" s="17" t="s">
        <v>20</v>
      </c>
      <c r="C26" s="19" t="str">
        <f>VLOOKUP(B26,'АВС Менеджеры сумма'!$A$23:$J$42,10,0)</f>
        <v>А</v>
      </c>
      <c r="D26" s="19" t="str">
        <f>VLOOKUP(B26,'АВС Менеджеры сделки'!$A$24:$J$43,10,0)</f>
        <v>А</v>
      </c>
    </row>
    <row r="27" spans="1:4">
      <c r="A27">
        <v>20</v>
      </c>
      <c r="B27" s="17" t="s">
        <v>18</v>
      </c>
      <c r="C27" s="19" t="str">
        <f>VLOOKUP(B27,'АВС Менеджеры сумма'!$A$23:$J$42,10,0)</f>
        <v>А</v>
      </c>
      <c r="D27" s="19" t="str">
        <f>VLOOKUP(B27,'АВС Менеджеры сделки'!$A$24:$J$43,10,0)</f>
        <v>А</v>
      </c>
    </row>
  </sheetData>
  <sortState ref="A8:D27">
    <sortCondition ref="B8"/>
  </sortState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abSelected="1" zoomScale="52" zoomScaleNormal="52" topLeftCell="A2" workbookViewId="0">
      <selection activeCell="T28" sqref="T28"/>
    </sheetView>
  </sheetViews>
  <sheetFormatPr defaultColWidth="9" defaultRowHeight="14.25"/>
  <cols>
    <col min="1" max="1" width="32" customWidth="1"/>
  </cols>
  <sheetData>
    <row r="1" spans="1:16">
      <c r="A1" s="10" t="s">
        <v>287</v>
      </c>
      <c r="B1" s="11" t="s">
        <v>288</v>
      </c>
      <c r="C1" s="11" t="s">
        <v>289</v>
      </c>
      <c r="D1" s="11" t="s">
        <v>290</v>
      </c>
      <c r="E1" s="11" t="s">
        <v>291</v>
      </c>
      <c r="F1" s="11" t="s">
        <v>292</v>
      </c>
      <c r="G1" s="11" t="s">
        <v>293</v>
      </c>
      <c r="H1" s="11" t="s">
        <v>294</v>
      </c>
      <c r="I1" s="11" t="s">
        <v>295</v>
      </c>
      <c r="J1" s="12" t="s">
        <v>296</v>
      </c>
      <c r="K1" s="12" t="s">
        <v>297</v>
      </c>
    </row>
    <row r="2" spans="1:16">
      <c r="A2" s="11" t="s">
        <v>298</v>
      </c>
      <c r="B2" s="11">
        <v>234052</v>
      </c>
      <c r="C2" s="11">
        <v>216077</v>
      </c>
      <c r="D2" s="11">
        <v>241027</v>
      </c>
      <c r="E2" s="11">
        <v>28462</v>
      </c>
      <c r="F2" s="11">
        <v>54340</v>
      </c>
      <c r="G2" s="11">
        <v>193296</v>
      </c>
      <c r="H2" s="11">
        <v>229566</v>
      </c>
      <c r="I2" s="11">
        <v>233044</v>
      </c>
      <c r="J2" s="13" t="s">
        <v>299</v>
      </c>
      <c r="K2" s="13" t="s">
        <v>300</v>
      </c>
    </row>
    <row r="3" spans="1:16">
      <c r="A3" s="11" t="s">
        <v>301</v>
      </c>
      <c r="B3" s="11">
        <v>183801</v>
      </c>
      <c r="C3" s="11">
        <v>184120</v>
      </c>
      <c r="D3" s="11">
        <v>179863</v>
      </c>
      <c r="E3" s="11">
        <v>170425</v>
      </c>
      <c r="F3" s="11">
        <v>173716</v>
      </c>
      <c r="G3" s="11">
        <v>169770</v>
      </c>
      <c r="H3" s="11">
        <v>183172</v>
      </c>
      <c r="I3" s="11">
        <v>181646</v>
      </c>
      <c r="J3" s="13" t="s">
        <v>299</v>
      </c>
      <c r="K3" s="13" t="s">
        <v>300</v>
      </c>
    </row>
    <row r="4" spans="1:16">
      <c r="A4" s="11" t="s">
        <v>302</v>
      </c>
      <c r="B4" s="11">
        <v>116467</v>
      </c>
      <c r="C4" s="11">
        <v>208399</v>
      </c>
      <c r="D4" s="11">
        <v>264694</v>
      </c>
      <c r="E4" s="11">
        <v>213152</v>
      </c>
      <c r="F4" s="11">
        <v>283059</v>
      </c>
      <c r="G4" s="11">
        <v>120640</v>
      </c>
      <c r="H4" s="11">
        <v>103649</v>
      </c>
      <c r="I4" s="11">
        <v>98881</v>
      </c>
      <c r="J4" s="13" t="s">
        <v>299</v>
      </c>
      <c r="K4" s="13" t="s">
        <v>300</v>
      </c>
    </row>
    <row r="5" spans="1:16">
      <c r="A5" s="11" t="s">
        <v>303</v>
      </c>
      <c r="B5" s="11">
        <v>169665</v>
      </c>
      <c r="C5" s="11">
        <v>160532</v>
      </c>
      <c r="D5" s="11">
        <v>173415</v>
      </c>
      <c r="E5" s="11">
        <v>174376</v>
      </c>
      <c r="F5" s="11">
        <v>174568</v>
      </c>
      <c r="G5" s="11">
        <v>161080</v>
      </c>
      <c r="H5" s="11">
        <v>166550</v>
      </c>
      <c r="I5" s="11">
        <v>169274</v>
      </c>
      <c r="J5" s="13" t="s">
        <v>299</v>
      </c>
      <c r="K5" s="13" t="s">
        <v>300</v>
      </c>
    </row>
    <row r="6" spans="1:16">
      <c r="A6" s="11" t="s">
        <v>304</v>
      </c>
      <c r="B6" s="11">
        <v>178222</v>
      </c>
      <c r="C6" s="11">
        <v>150966</v>
      </c>
      <c r="D6" s="11">
        <v>182303</v>
      </c>
      <c r="E6" s="11">
        <v>130158</v>
      </c>
      <c r="F6" s="11">
        <v>197803</v>
      </c>
      <c r="G6" s="11">
        <v>178110</v>
      </c>
      <c r="H6" s="11">
        <v>124476</v>
      </c>
      <c r="I6" s="11">
        <v>177636</v>
      </c>
      <c r="J6" s="13" t="s">
        <v>299</v>
      </c>
      <c r="K6" s="13" t="s">
        <v>305</v>
      </c>
    </row>
    <row r="7" spans="1:16">
      <c r="A7" s="11" t="s">
        <v>306</v>
      </c>
      <c r="B7" s="11">
        <v>151209</v>
      </c>
      <c r="C7" s="11">
        <v>155598</v>
      </c>
      <c r="D7" s="11">
        <v>172682</v>
      </c>
      <c r="E7" s="11">
        <v>161027</v>
      </c>
      <c r="F7" s="11">
        <v>151203</v>
      </c>
      <c r="G7" s="11">
        <v>158179</v>
      </c>
      <c r="H7" s="11">
        <v>180762</v>
      </c>
      <c r="I7" s="11">
        <v>125537</v>
      </c>
      <c r="J7" s="13" t="s">
        <v>299</v>
      </c>
      <c r="K7" s="13" t="s">
        <v>305</v>
      </c>
    </row>
    <row r="8" spans="1:16">
      <c r="A8" s="11" t="s">
        <v>307</v>
      </c>
      <c r="B8" s="11">
        <v>176330</v>
      </c>
      <c r="C8" s="11">
        <v>121210</v>
      </c>
      <c r="D8" s="11">
        <v>152724</v>
      </c>
      <c r="E8" s="11">
        <v>160583</v>
      </c>
      <c r="F8" s="11">
        <v>150051</v>
      </c>
      <c r="G8" s="11">
        <v>137644</v>
      </c>
      <c r="H8" s="11">
        <v>170553</v>
      </c>
      <c r="I8" s="11">
        <v>161697</v>
      </c>
      <c r="J8" s="13" t="s">
        <v>299</v>
      </c>
      <c r="K8" s="13" t="s">
        <v>300</v>
      </c>
    </row>
    <row r="9" spans="1:16">
      <c r="A9" s="11" t="s">
        <v>308</v>
      </c>
      <c r="B9" s="11">
        <v>151188</v>
      </c>
      <c r="C9" s="11">
        <v>150633</v>
      </c>
      <c r="D9" s="11">
        <v>160966</v>
      </c>
      <c r="E9" s="11">
        <v>152034</v>
      </c>
      <c r="F9" s="11">
        <v>161256</v>
      </c>
      <c r="G9" s="11">
        <v>147233</v>
      </c>
      <c r="H9" s="11">
        <v>148502</v>
      </c>
      <c r="I9" s="11">
        <v>151988</v>
      </c>
      <c r="J9" s="13" t="s">
        <v>309</v>
      </c>
      <c r="K9" s="13" t="s">
        <v>300</v>
      </c>
    </row>
    <row r="10" spans="1:16">
      <c r="A10" s="11" t="s">
        <v>310</v>
      </c>
      <c r="B10" s="11">
        <v>286775</v>
      </c>
      <c r="C10" s="11">
        <v>221110</v>
      </c>
      <c r="D10" s="11">
        <v>38080</v>
      </c>
      <c r="E10" s="11">
        <v>47894</v>
      </c>
      <c r="F10" s="11">
        <v>59927</v>
      </c>
      <c r="G10" s="11">
        <v>119964</v>
      </c>
      <c r="H10" s="11">
        <v>251860</v>
      </c>
      <c r="I10" s="11">
        <v>195841</v>
      </c>
      <c r="J10" s="13" t="s">
        <v>309</v>
      </c>
      <c r="K10" s="13" t="s">
        <v>300</v>
      </c>
    </row>
    <row r="11" spans="1:16">
      <c r="A11" s="11" t="s">
        <v>311</v>
      </c>
      <c r="B11" s="11">
        <v>206692</v>
      </c>
      <c r="C11" s="11">
        <v>230270</v>
      </c>
      <c r="D11" s="11">
        <v>231500</v>
      </c>
      <c r="E11" s="11">
        <v>173326</v>
      </c>
      <c r="F11" s="11">
        <v>27445</v>
      </c>
      <c r="G11" s="11">
        <v>202914</v>
      </c>
      <c r="H11" s="11">
        <v>53448</v>
      </c>
      <c r="I11" s="11">
        <v>50577</v>
      </c>
      <c r="J11" s="13" t="s">
        <v>309</v>
      </c>
      <c r="K11" s="13" t="s">
        <v>0</v>
      </c>
    </row>
    <row r="14" spans="1:16">
      <c r="M14" t="s">
        <v>312</v>
      </c>
    </row>
    <row r="15" spans="1:16">
      <c r="M15" t="s">
        <v>313</v>
      </c>
    </row>
    <row r="16" spans="1:16">
      <c r="M16" s="11"/>
      <c r="N16" s="11" t="s">
        <v>0</v>
      </c>
      <c r="O16" s="11" t="s">
        <v>305</v>
      </c>
      <c r="P16" s="11" t="s">
        <v>300</v>
      </c>
    </row>
    <row r="17" spans="13:16">
      <c r="M17" s="11" t="s">
        <v>299</v>
      </c>
      <c r="N17" s="11">
        <v>44</v>
      </c>
      <c r="O17" s="11">
        <v>36</v>
      </c>
      <c r="P17" s="11">
        <v>34</v>
      </c>
    </row>
    <row r="18" spans="13:16">
      <c r="M18" s="11" t="s">
        <v>309</v>
      </c>
      <c r="N18" s="11">
        <v>34</v>
      </c>
      <c r="O18" s="11">
        <v>21</v>
      </c>
      <c r="P18" s="11">
        <v>26</v>
      </c>
    </row>
    <row r="19" spans="13:16">
      <c r="M19" s="11" t="s">
        <v>314</v>
      </c>
      <c r="N19" s="11">
        <v>18</v>
      </c>
      <c r="O19" s="11">
        <v>12</v>
      </c>
      <c r="P19" s="11">
        <v>12</v>
      </c>
    </row>
    <row r="21" spans="13:16">
      <c r="M21" t="s">
        <v>315</v>
      </c>
    </row>
    <row r="22" spans="13:16">
      <c r="M22" s="11"/>
      <c r="N22" s="11" t="s">
        <v>0</v>
      </c>
      <c r="O22" s="11" t="s">
        <v>305</v>
      </c>
      <c r="P22" s="11" t="s">
        <v>300</v>
      </c>
    </row>
    <row r="23" spans="13:16">
      <c r="M23" s="11" t="s">
        <v>299</v>
      </c>
      <c r="N23" s="11">
        <v>28404282</v>
      </c>
      <c r="O23" s="11">
        <v>22043733</v>
      </c>
      <c r="P23" s="11">
        <v>22687446</v>
      </c>
    </row>
    <row r="24" spans="13:16">
      <c r="M24" s="11" t="s">
        <v>309</v>
      </c>
      <c r="N24" s="11">
        <v>5956442</v>
      </c>
      <c r="O24" s="11">
        <v>3448558</v>
      </c>
      <c r="P24" s="11">
        <v>4338323</v>
      </c>
    </row>
    <row r="25" spans="13:16">
      <c r="M25" s="11" t="s">
        <v>314</v>
      </c>
      <c r="N25" s="11">
        <v>2066637</v>
      </c>
      <c r="O25" s="11">
        <v>1253159</v>
      </c>
      <c r="P25" s="11">
        <v>1315289</v>
      </c>
    </row>
    <row r="42" spans="3:3">
      <c r="C42" t="s">
        <v>316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U240"/>
  <sheetViews>
    <sheetView zoomScale="49" zoomScaleNormal="49" workbookViewId="0">
      <selection activeCell="H37" sqref="H37"/>
    </sheetView>
  </sheetViews>
  <sheetFormatPr defaultColWidth="9.02654867256637" defaultRowHeight="14.25"/>
  <cols>
    <col min="1" max="1" width="35.3274336283186"/>
    <col min="2" max="2" width="14.4513274336283" style="1"/>
    <col min="3" max="3" width="14.2920353982301"/>
    <col min="4" max="4" width="13.5132743362832" customWidth="1"/>
    <col min="5" max="7" width="13.5132743362832" hidden="1" customWidth="1"/>
    <col min="8" max="8" width="13.5132743362832" customWidth="1"/>
    <col min="9" max="9" width="35.3274336283186" customWidth="1"/>
    <col min="10" max="10" width="12.7964601769912"/>
    <col min="11" max="11" width="10.0265486725664" customWidth="1"/>
    <col min="18" max="18" width="12.9115044247788"/>
    <col min="19" max="21" width="9.53097345132743"/>
    <col min="22" max="22" width="12.0884955752212"/>
  </cols>
  <sheetData>
    <row r="3" spans="1:21">
      <c r="A3" t="s">
        <v>44</v>
      </c>
      <c r="B3" s="1" t="s">
        <v>317</v>
      </c>
      <c r="C3" s="2" t="s">
        <v>17</v>
      </c>
      <c r="I3" s="2" t="s">
        <v>44</v>
      </c>
      <c r="J3" s="2" t="s">
        <v>318</v>
      </c>
      <c r="K3" s="2" t="s">
        <v>17</v>
      </c>
      <c r="L3" s="2" t="s">
        <v>297</v>
      </c>
      <c r="M3" s="2" t="s">
        <v>317</v>
      </c>
      <c r="R3" t="s">
        <v>319</v>
      </c>
      <c r="S3" t="s">
        <v>297</v>
      </c>
    </row>
    <row r="4" spans="1:21">
      <c r="A4" s="3" t="s">
        <v>47</v>
      </c>
      <c r="B4" s="1">
        <v>290267</v>
      </c>
      <c r="C4" t="str">
        <f>VLOOKUP(B4,$O$10:$P$12,2,1)</f>
        <v>С</v>
      </c>
      <c r="I4" t="s">
        <v>107</v>
      </c>
      <c r="J4" s="4">
        <v>0.0932617736443868</v>
      </c>
      <c r="K4" t="s">
        <v>19</v>
      </c>
      <c r="L4" t="s">
        <v>0</v>
      </c>
      <c r="M4">
        <v>1328696</v>
      </c>
      <c r="R4" t="s">
        <v>17</v>
      </c>
      <c r="S4" t="s">
        <v>0</v>
      </c>
      <c r="T4" t="s">
        <v>305</v>
      </c>
      <c r="U4" t="s">
        <v>300</v>
      </c>
    </row>
    <row r="5" spans="1:21">
      <c r="A5" t="s">
        <v>175</v>
      </c>
      <c r="B5" s="1">
        <v>133734</v>
      </c>
      <c r="C5" t="str">
        <f t="shared" ref="C5:C68" si="0">VLOOKUP(B5,$O$10:$P$12,2,1)</f>
        <v>С</v>
      </c>
      <c r="I5" t="s">
        <v>86</v>
      </c>
      <c r="J5" s="4">
        <v>0.0315130516836843</v>
      </c>
      <c r="K5" t="s">
        <v>19</v>
      </c>
      <c r="L5" t="s">
        <v>0</v>
      </c>
      <c r="M5">
        <v>1220532</v>
      </c>
      <c r="R5" t="s">
        <v>19</v>
      </c>
      <c r="S5">
        <v>28404282</v>
      </c>
      <c r="T5">
        <v>22043733</v>
      </c>
      <c r="U5">
        <v>22687446</v>
      </c>
    </row>
    <row r="6" spans="1:21">
      <c r="A6" t="s">
        <v>268</v>
      </c>
      <c r="B6" s="1">
        <v>289018</v>
      </c>
      <c r="C6" t="str">
        <f t="shared" si="0"/>
        <v>С</v>
      </c>
      <c r="I6" t="s">
        <v>126</v>
      </c>
      <c r="J6" s="4">
        <v>0.0304185518737844</v>
      </c>
      <c r="K6" t="s">
        <v>19</v>
      </c>
      <c r="L6" t="s">
        <v>0</v>
      </c>
      <c r="M6">
        <v>396441</v>
      </c>
      <c r="N6"/>
      <c r="O6" s="5">
        <v>0</v>
      </c>
      <c r="P6" s="6" t="s">
        <v>0</v>
      </c>
      <c r="R6" t="s">
        <v>24</v>
      </c>
      <c r="S6">
        <v>5956442</v>
      </c>
      <c r="T6">
        <v>3448558</v>
      </c>
      <c r="U6">
        <v>4338323</v>
      </c>
    </row>
    <row r="7" spans="1:21">
      <c r="A7" t="s">
        <v>54</v>
      </c>
      <c r="B7" s="1">
        <v>975035</v>
      </c>
      <c r="C7" t="str">
        <f t="shared" si="0"/>
        <v>С</v>
      </c>
      <c r="I7" t="s">
        <v>102</v>
      </c>
      <c r="J7" s="4">
        <v>0.0292771765390794</v>
      </c>
      <c r="K7" t="s">
        <v>19</v>
      </c>
      <c r="L7" t="s">
        <v>0</v>
      </c>
      <c r="M7">
        <v>664499</v>
      </c>
      <c r="N7"/>
      <c r="O7" s="5">
        <v>0.1</v>
      </c>
      <c r="P7" s="6" t="s">
        <v>305</v>
      </c>
      <c r="R7" t="s">
        <v>30</v>
      </c>
      <c r="S7">
        <v>2066637</v>
      </c>
      <c r="T7">
        <v>1253159</v>
      </c>
      <c r="U7">
        <v>1315289</v>
      </c>
    </row>
    <row r="8" spans="1:21">
      <c r="A8" t="s">
        <v>241</v>
      </c>
      <c r="B8" s="1">
        <v>94602</v>
      </c>
      <c r="C8" t="str">
        <f t="shared" si="0"/>
        <v>С</v>
      </c>
      <c r="I8" t="s">
        <v>215</v>
      </c>
      <c r="J8" s="4">
        <v>0.0291113651817426</v>
      </c>
      <c r="K8" t="s">
        <v>19</v>
      </c>
      <c r="L8" t="s">
        <v>0</v>
      </c>
      <c r="M8">
        <v>440624</v>
      </c>
      <c r="N8"/>
      <c r="O8" s="5">
        <v>0.25</v>
      </c>
      <c r="P8" s="6" t="s">
        <v>300</v>
      </c>
    </row>
    <row r="9" spans="1:21">
      <c r="A9" t="s">
        <v>206</v>
      </c>
      <c r="B9" s="1">
        <v>384300</v>
      </c>
      <c r="C9" t="str">
        <f t="shared" si="0"/>
        <v>С</v>
      </c>
      <c r="I9" t="s">
        <v>106</v>
      </c>
      <c r="J9" s="4">
        <v>0.0290697005533592</v>
      </c>
      <c r="K9" t="s">
        <v>19</v>
      </c>
      <c r="L9" t="s">
        <v>0</v>
      </c>
      <c r="M9">
        <v>999036</v>
      </c>
    </row>
    <row r="10" spans="1:21">
      <c r="A10" t="s">
        <v>189</v>
      </c>
      <c r="B10" s="1">
        <v>436647</v>
      </c>
      <c r="C10" t="str">
        <f t="shared" si="0"/>
        <v>С</v>
      </c>
      <c r="I10" t="s">
        <v>92</v>
      </c>
      <c r="J10" s="4">
        <v>0.0289747508769419</v>
      </c>
      <c r="K10" t="s">
        <v>19</v>
      </c>
      <c r="L10" t="s">
        <v>0</v>
      </c>
      <c r="M10">
        <v>1207105</v>
      </c>
      <c r="N10"/>
      <c r="O10" s="7">
        <v>0</v>
      </c>
      <c r="P10" s="8" t="s">
        <v>19</v>
      </c>
    </row>
    <row r="11" spans="1:21">
      <c r="A11" t="s">
        <v>240</v>
      </c>
      <c r="B11" s="1">
        <v>196590</v>
      </c>
      <c r="C11" t="str">
        <f t="shared" si="0"/>
        <v>С</v>
      </c>
      <c r="I11" t="s">
        <v>136</v>
      </c>
      <c r="J11" s="4">
        <v>0.0286825918208851</v>
      </c>
      <c r="K11" t="s">
        <v>19</v>
      </c>
      <c r="L11" t="s">
        <v>0</v>
      </c>
      <c r="M11">
        <v>472433</v>
      </c>
      <c r="N11"/>
      <c r="O11" s="7">
        <v>0.8</v>
      </c>
      <c r="P11" s="8" t="s">
        <v>24</v>
      </c>
    </row>
    <row r="12" spans="1:21">
      <c r="A12" t="s">
        <v>283</v>
      </c>
      <c r="B12" s="1">
        <v>118121</v>
      </c>
      <c r="C12" t="str">
        <f t="shared" si="0"/>
        <v>С</v>
      </c>
      <c r="I12" t="s">
        <v>98</v>
      </c>
      <c r="J12" s="4">
        <v>0.0280201128986582</v>
      </c>
      <c r="K12" t="s">
        <v>19</v>
      </c>
      <c r="L12" t="s">
        <v>0</v>
      </c>
      <c r="M12">
        <v>297854</v>
      </c>
      <c r="N12"/>
      <c r="O12" s="7">
        <v>0.95</v>
      </c>
      <c r="P12" s="8" t="s">
        <v>30</v>
      </c>
    </row>
    <row r="13" spans="1:21">
      <c r="A13" t="s">
        <v>66</v>
      </c>
      <c r="B13" s="1">
        <v>691318</v>
      </c>
      <c r="C13" t="str">
        <f t="shared" si="0"/>
        <v>С</v>
      </c>
      <c r="I13" t="s">
        <v>197</v>
      </c>
      <c r="J13" s="4">
        <v>0.0276186352682406</v>
      </c>
      <c r="K13" t="s">
        <v>19</v>
      </c>
      <c r="L13" t="s">
        <v>0</v>
      </c>
      <c r="M13">
        <v>379540</v>
      </c>
    </row>
    <row r="14" spans="1:21">
      <c r="A14" t="s">
        <v>105</v>
      </c>
      <c r="B14" s="1">
        <v>526669</v>
      </c>
      <c r="C14" t="str">
        <f t="shared" si="0"/>
        <v>С</v>
      </c>
      <c r="I14" t="s">
        <v>229</v>
      </c>
      <c r="J14" s="4">
        <v>0.0272572776284247</v>
      </c>
      <c r="K14" t="s">
        <v>19</v>
      </c>
      <c r="L14" t="s">
        <v>0</v>
      </c>
      <c r="M14">
        <v>500808</v>
      </c>
    </row>
    <row r="15" spans="1:21">
      <c r="A15" t="s">
        <v>110</v>
      </c>
      <c r="B15" s="1">
        <v>309962</v>
      </c>
      <c r="C15" t="str">
        <f t="shared" si="0"/>
        <v>С</v>
      </c>
      <c r="I15" t="s">
        <v>237</v>
      </c>
      <c r="J15" s="4">
        <v>0.0267791510534737</v>
      </c>
      <c r="K15" t="s">
        <v>19</v>
      </c>
      <c r="L15" t="s">
        <v>0</v>
      </c>
      <c r="M15">
        <v>372462</v>
      </c>
    </row>
    <row r="16" spans="1:21">
      <c r="A16" t="s">
        <v>270</v>
      </c>
      <c r="B16" s="1">
        <v>138758</v>
      </c>
      <c r="C16" t="str">
        <f t="shared" si="0"/>
        <v>С</v>
      </c>
      <c r="I16" t="s">
        <v>66</v>
      </c>
      <c r="J16" s="4">
        <v>0.0265265198636086</v>
      </c>
      <c r="K16" t="s">
        <v>19</v>
      </c>
      <c r="L16" t="s">
        <v>0</v>
      </c>
      <c r="M16">
        <v>691318</v>
      </c>
    </row>
    <row r="17" spans="1:13">
      <c r="A17" t="s">
        <v>106</v>
      </c>
      <c r="B17" s="1">
        <v>999036</v>
      </c>
      <c r="C17" t="str">
        <f t="shared" si="0"/>
        <v>С</v>
      </c>
      <c r="I17" t="s">
        <v>125</v>
      </c>
      <c r="J17" s="4">
        <v>0.0263870797409565</v>
      </c>
      <c r="K17" t="s">
        <v>19</v>
      </c>
      <c r="L17" t="s">
        <v>0</v>
      </c>
      <c r="M17">
        <v>278387</v>
      </c>
    </row>
    <row r="18" spans="1:13">
      <c r="A18" t="s">
        <v>55</v>
      </c>
      <c r="B18" s="1">
        <v>1308342</v>
      </c>
      <c r="C18" t="str">
        <f t="shared" si="0"/>
        <v>С</v>
      </c>
      <c r="I18" t="s">
        <v>190</v>
      </c>
      <c r="J18" s="4">
        <v>0.0258322760333336</v>
      </c>
      <c r="K18" t="s">
        <v>19</v>
      </c>
      <c r="L18" t="s">
        <v>0</v>
      </c>
      <c r="M18">
        <v>967679</v>
      </c>
    </row>
    <row r="19" spans="1:13">
      <c r="A19" t="s">
        <v>92</v>
      </c>
      <c r="B19" s="1">
        <v>1207105</v>
      </c>
      <c r="C19" t="str">
        <f t="shared" si="0"/>
        <v>С</v>
      </c>
      <c r="I19" t="s">
        <v>55</v>
      </c>
      <c r="J19" s="4">
        <v>0.0257357551230981</v>
      </c>
      <c r="K19" t="s">
        <v>19</v>
      </c>
      <c r="L19" t="s">
        <v>0</v>
      </c>
      <c r="M19">
        <v>1308342</v>
      </c>
    </row>
    <row r="20" spans="1:13">
      <c r="A20" t="s">
        <v>51</v>
      </c>
      <c r="B20" s="1">
        <v>97999</v>
      </c>
      <c r="C20" t="str">
        <f t="shared" si="0"/>
        <v>С</v>
      </c>
      <c r="I20" t="s">
        <v>108</v>
      </c>
      <c r="J20" s="4">
        <v>0.0255947503946085</v>
      </c>
      <c r="K20" t="s">
        <v>19</v>
      </c>
      <c r="L20" t="s">
        <v>0</v>
      </c>
      <c r="M20">
        <v>776471</v>
      </c>
    </row>
    <row r="21" spans="1:13">
      <c r="A21" t="s">
        <v>80</v>
      </c>
      <c r="B21" s="1">
        <v>259383</v>
      </c>
      <c r="C21" t="str">
        <f t="shared" si="0"/>
        <v>С</v>
      </c>
      <c r="I21" t="s">
        <v>69</v>
      </c>
      <c r="J21" s="4">
        <v>0.0255944071866021</v>
      </c>
      <c r="K21" t="s">
        <v>19</v>
      </c>
      <c r="L21" t="s">
        <v>0</v>
      </c>
      <c r="M21">
        <v>826720</v>
      </c>
    </row>
    <row r="22" spans="1:13">
      <c r="A22" t="s">
        <v>62</v>
      </c>
      <c r="B22" s="1">
        <v>231253</v>
      </c>
      <c r="C22" t="str">
        <f t="shared" si="0"/>
        <v>С</v>
      </c>
      <c r="I22" t="s">
        <v>89</v>
      </c>
      <c r="J22" s="4">
        <v>0.025140415294062</v>
      </c>
      <c r="K22" t="s">
        <v>19</v>
      </c>
      <c r="L22" t="s">
        <v>0</v>
      </c>
      <c r="M22">
        <v>516408</v>
      </c>
    </row>
    <row r="23" spans="1:13">
      <c r="A23" t="s">
        <v>248</v>
      </c>
      <c r="B23" s="1">
        <v>229246</v>
      </c>
      <c r="C23" t="str">
        <f t="shared" si="0"/>
        <v>С</v>
      </c>
      <c r="I23" t="s">
        <v>226</v>
      </c>
      <c r="J23" s="4">
        <v>0.0243469246358746</v>
      </c>
      <c r="K23" t="s">
        <v>19</v>
      </c>
      <c r="L23" t="s">
        <v>0</v>
      </c>
      <c r="M23">
        <v>315185</v>
      </c>
    </row>
    <row r="24" spans="1:13">
      <c r="A24" t="s">
        <v>244</v>
      </c>
      <c r="B24" s="1">
        <v>179727</v>
      </c>
      <c r="C24" t="str">
        <f t="shared" si="0"/>
        <v>С</v>
      </c>
      <c r="I24" t="s">
        <v>191</v>
      </c>
      <c r="J24" s="4">
        <v>0.0243039183295148</v>
      </c>
      <c r="K24" t="s">
        <v>19</v>
      </c>
      <c r="L24" t="s">
        <v>0</v>
      </c>
      <c r="M24">
        <v>468491</v>
      </c>
    </row>
    <row r="25" spans="1:13">
      <c r="A25" t="s">
        <v>216</v>
      </c>
      <c r="B25" s="1">
        <v>121272</v>
      </c>
      <c r="C25" t="str">
        <f t="shared" si="0"/>
        <v>С</v>
      </c>
      <c r="I25" t="s">
        <v>83</v>
      </c>
      <c r="J25" s="4">
        <v>0.0239078458815815</v>
      </c>
      <c r="K25" t="s">
        <v>19</v>
      </c>
      <c r="L25" t="s">
        <v>0</v>
      </c>
      <c r="M25">
        <v>505420</v>
      </c>
    </row>
    <row r="26" spans="1:13">
      <c r="A26" t="s">
        <v>251</v>
      </c>
      <c r="B26" s="1">
        <v>315015</v>
      </c>
      <c r="C26" t="str">
        <f t="shared" si="0"/>
        <v>С</v>
      </c>
      <c r="I26" t="s">
        <v>188</v>
      </c>
      <c r="J26" s="4">
        <v>0.0237799774179366</v>
      </c>
      <c r="K26" t="s">
        <v>19</v>
      </c>
      <c r="L26" t="s">
        <v>0</v>
      </c>
      <c r="M26">
        <v>250877</v>
      </c>
    </row>
    <row r="27" spans="1:13">
      <c r="A27" t="s">
        <v>149</v>
      </c>
      <c r="B27" s="1">
        <v>108462</v>
      </c>
      <c r="C27" t="str">
        <f t="shared" si="0"/>
        <v>С</v>
      </c>
      <c r="I27" t="s">
        <v>131</v>
      </c>
      <c r="J27" s="4">
        <v>0.0236677239136587</v>
      </c>
      <c r="K27" t="s">
        <v>19</v>
      </c>
      <c r="L27" t="s">
        <v>0</v>
      </c>
      <c r="M27">
        <v>360846</v>
      </c>
    </row>
    <row r="28" spans="1:13">
      <c r="A28" t="s">
        <v>87</v>
      </c>
      <c r="B28" s="1">
        <v>334281</v>
      </c>
      <c r="C28" t="str">
        <f t="shared" si="0"/>
        <v>С</v>
      </c>
      <c r="I28" t="s">
        <v>251</v>
      </c>
      <c r="J28" s="4">
        <v>0.0232464249390704</v>
      </c>
      <c r="K28" t="s">
        <v>19</v>
      </c>
      <c r="L28" t="s">
        <v>0</v>
      </c>
      <c r="M28">
        <v>315015</v>
      </c>
    </row>
    <row r="29" spans="1:13">
      <c r="A29" t="s">
        <v>146</v>
      </c>
      <c r="B29" s="1">
        <v>333967</v>
      </c>
      <c r="C29" t="str">
        <f t="shared" si="0"/>
        <v>С</v>
      </c>
      <c r="I29" t="s">
        <v>171</v>
      </c>
      <c r="J29" s="4">
        <v>0.0228027618743526</v>
      </c>
      <c r="K29" t="s">
        <v>19</v>
      </c>
      <c r="L29" t="s">
        <v>0</v>
      </c>
      <c r="M29">
        <v>888583</v>
      </c>
    </row>
    <row r="30" spans="1:13">
      <c r="A30" t="s">
        <v>235</v>
      </c>
      <c r="B30" s="1">
        <v>147549</v>
      </c>
      <c r="C30" t="str">
        <f t="shared" si="0"/>
        <v>С</v>
      </c>
      <c r="I30" t="s">
        <v>173</v>
      </c>
      <c r="J30" s="4">
        <v>0.0227659970211677</v>
      </c>
      <c r="K30" t="s">
        <v>19</v>
      </c>
      <c r="L30" t="s">
        <v>0</v>
      </c>
      <c r="M30">
        <v>770018</v>
      </c>
    </row>
    <row r="31" spans="1:13">
      <c r="A31" t="s">
        <v>200</v>
      </c>
      <c r="B31" s="1">
        <v>393756</v>
      </c>
      <c r="C31" t="str">
        <f t="shared" si="0"/>
        <v>С</v>
      </c>
      <c r="I31" t="s">
        <v>260</v>
      </c>
      <c r="J31" s="4">
        <v>0.0227515332826415</v>
      </c>
      <c r="K31" t="s">
        <v>19</v>
      </c>
      <c r="L31" t="s">
        <v>0</v>
      </c>
      <c r="M31">
        <v>778007</v>
      </c>
    </row>
    <row r="32" spans="1:13">
      <c r="A32" t="s">
        <v>197</v>
      </c>
      <c r="B32" s="1">
        <v>379540</v>
      </c>
      <c r="C32" t="str">
        <f t="shared" si="0"/>
        <v>С</v>
      </c>
      <c r="I32" t="s">
        <v>64</v>
      </c>
      <c r="J32" s="4">
        <v>0.0224041470734444</v>
      </c>
      <c r="K32" t="s">
        <v>19</v>
      </c>
      <c r="L32" t="s">
        <v>0</v>
      </c>
      <c r="M32">
        <v>1109246</v>
      </c>
    </row>
    <row r="33" spans="1:13">
      <c r="A33" t="s">
        <v>154</v>
      </c>
      <c r="B33" s="1">
        <v>107076</v>
      </c>
      <c r="C33" t="str">
        <f t="shared" si="0"/>
        <v>С</v>
      </c>
      <c r="I33" t="s">
        <v>140</v>
      </c>
      <c r="J33" s="4">
        <v>0.0223735644775809</v>
      </c>
      <c r="K33" t="s">
        <v>19</v>
      </c>
      <c r="L33" t="s">
        <v>0</v>
      </c>
      <c r="M33">
        <v>290198</v>
      </c>
    </row>
    <row r="34" spans="1:13">
      <c r="A34" t="s">
        <v>207</v>
      </c>
      <c r="B34" s="1">
        <v>592385</v>
      </c>
      <c r="C34" t="str">
        <f t="shared" si="0"/>
        <v>С</v>
      </c>
      <c r="I34" t="s">
        <v>115</v>
      </c>
      <c r="J34" s="4">
        <v>0.0223437305048346</v>
      </c>
      <c r="K34" t="s">
        <v>19</v>
      </c>
      <c r="L34" t="s">
        <v>0</v>
      </c>
      <c r="M34">
        <v>587092</v>
      </c>
    </row>
    <row r="35" spans="1:13">
      <c r="A35" t="s">
        <v>201</v>
      </c>
      <c r="B35" s="1">
        <v>123791</v>
      </c>
      <c r="C35" t="str">
        <f t="shared" si="0"/>
        <v>С</v>
      </c>
      <c r="I35" t="s">
        <v>250</v>
      </c>
      <c r="J35" s="4">
        <v>0.0221874072334116</v>
      </c>
      <c r="K35" t="s">
        <v>19</v>
      </c>
      <c r="L35" t="s">
        <v>0</v>
      </c>
      <c r="M35">
        <v>435125</v>
      </c>
    </row>
    <row r="36" spans="1:13">
      <c r="A36" t="s">
        <v>279</v>
      </c>
      <c r="B36" s="1">
        <v>154122</v>
      </c>
      <c r="C36" t="str">
        <f t="shared" si="0"/>
        <v>С</v>
      </c>
      <c r="I36" t="s">
        <v>230</v>
      </c>
      <c r="J36" s="4">
        <v>0.0216530265809013</v>
      </c>
      <c r="K36" t="s">
        <v>19</v>
      </c>
      <c r="L36" t="s">
        <v>0</v>
      </c>
      <c r="M36">
        <v>643912</v>
      </c>
    </row>
    <row r="37" spans="1:13">
      <c r="A37" t="s">
        <v>239</v>
      </c>
      <c r="B37" s="1">
        <v>469256</v>
      </c>
      <c r="C37" t="str">
        <f t="shared" si="0"/>
        <v>С</v>
      </c>
      <c r="I37" t="s">
        <v>144</v>
      </c>
      <c r="J37" s="4">
        <v>0.0214269869492004</v>
      </c>
      <c r="K37" t="s">
        <v>19</v>
      </c>
      <c r="L37" t="s">
        <v>0</v>
      </c>
      <c r="M37">
        <v>613256</v>
      </c>
    </row>
    <row r="38" spans="1:13">
      <c r="A38" t="s">
        <v>144</v>
      </c>
      <c r="B38" s="1">
        <v>613256</v>
      </c>
      <c r="C38" t="str">
        <f t="shared" si="0"/>
        <v>С</v>
      </c>
      <c r="I38" t="s">
        <v>189</v>
      </c>
      <c r="J38" s="4">
        <v>0.020748667025226</v>
      </c>
      <c r="K38" t="s">
        <v>19</v>
      </c>
      <c r="L38" t="s">
        <v>0</v>
      </c>
      <c r="M38">
        <v>436647</v>
      </c>
    </row>
    <row r="39" spans="1:13">
      <c r="A39" t="s">
        <v>100</v>
      </c>
      <c r="B39" s="1">
        <v>141711</v>
      </c>
      <c r="C39" t="str">
        <f t="shared" si="0"/>
        <v>С</v>
      </c>
      <c r="I39" t="s">
        <v>164</v>
      </c>
      <c r="J39" s="4">
        <v>0.019993437902083</v>
      </c>
      <c r="K39" t="s">
        <v>19</v>
      </c>
      <c r="L39" t="s">
        <v>0</v>
      </c>
      <c r="M39">
        <v>319824</v>
      </c>
    </row>
    <row r="40" spans="1:13">
      <c r="A40" t="s">
        <v>269</v>
      </c>
      <c r="B40" s="1">
        <v>104094</v>
      </c>
      <c r="C40" t="str">
        <f t="shared" si="0"/>
        <v>С</v>
      </c>
      <c r="I40" t="s">
        <v>65</v>
      </c>
      <c r="J40" s="4">
        <v>0.0191640168437147</v>
      </c>
      <c r="K40" t="s">
        <v>19</v>
      </c>
      <c r="L40" t="s">
        <v>0</v>
      </c>
      <c r="M40">
        <v>361220</v>
      </c>
    </row>
    <row r="41" spans="1:13">
      <c r="A41" t="s">
        <v>88</v>
      </c>
      <c r="B41" s="1">
        <v>104803</v>
      </c>
      <c r="C41" t="str">
        <f t="shared" si="0"/>
        <v>С</v>
      </c>
      <c r="I41" t="s">
        <v>168</v>
      </c>
      <c r="J41" s="4">
        <v>0.0187323821940562</v>
      </c>
      <c r="K41" t="s">
        <v>19</v>
      </c>
      <c r="L41" t="s">
        <v>0</v>
      </c>
      <c r="M41">
        <v>442582</v>
      </c>
    </row>
    <row r="42" spans="1:13">
      <c r="A42" t="s">
        <v>99</v>
      </c>
      <c r="B42" s="1">
        <v>158988</v>
      </c>
      <c r="C42" t="str">
        <f t="shared" si="0"/>
        <v>С</v>
      </c>
      <c r="I42" s="6" t="s">
        <v>47</v>
      </c>
      <c r="J42" s="9">
        <v>0.0175997813318881</v>
      </c>
      <c r="K42" t="s">
        <v>19</v>
      </c>
      <c r="L42" t="s">
        <v>0</v>
      </c>
      <c r="M42">
        <v>290267</v>
      </c>
    </row>
    <row r="43" spans="1:13">
      <c r="A43" t="s">
        <v>64</v>
      </c>
      <c r="B43" s="1">
        <v>1109246</v>
      </c>
      <c r="C43" t="str">
        <f t="shared" si="0"/>
        <v>С</v>
      </c>
      <c r="I43" t="s">
        <v>72</v>
      </c>
      <c r="J43" s="4">
        <v>0.0171548886822631</v>
      </c>
      <c r="K43" t="s">
        <v>19</v>
      </c>
      <c r="L43" t="s">
        <v>0</v>
      </c>
      <c r="M43">
        <v>1197239</v>
      </c>
    </row>
    <row r="44" spans="1:13">
      <c r="A44" t="s">
        <v>259</v>
      </c>
      <c r="B44" s="1">
        <v>404165</v>
      </c>
      <c r="C44" t="str">
        <f t="shared" si="0"/>
        <v>С</v>
      </c>
      <c r="I44" t="s">
        <v>169</v>
      </c>
      <c r="J44" s="4">
        <v>0.0149732027681843</v>
      </c>
      <c r="K44" t="s">
        <v>19</v>
      </c>
      <c r="L44" t="s">
        <v>0</v>
      </c>
      <c r="M44">
        <v>563820</v>
      </c>
    </row>
    <row r="45" spans="1:13">
      <c r="A45" s="6" t="s">
        <v>160</v>
      </c>
      <c r="B45" s="1">
        <v>113367</v>
      </c>
      <c r="C45" t="str">
        <f t="shared" si="0"/>
        <v>С</v>
      </c>
      <c r="I45" t="s">
        <v>172</v>
      </c>
      <c r="J45" s="4">
        <v>0.0148027096008711</v>
      </c>
      <c r="K45" t="s">
        <v>19</v>
      </c>
      <c r="L45" t="s">
        <v>0</v>
      </c>
      <c r="M45">
        <v>869530</v>
      </c>
    </row>
    <row r="46" spans="1:13">
      <c r="A46" t="s">
        <v>257</v>
      </c>
      <c r="B46" s="1">
        <v>140730</v>
      </c>
      <c r="C46" t="str">
        <f t="shared" si="0"/>
        <v>С</v>
      </c>
      <c r="I46" t="s">
        <v>54</v>
      </c>
      <c r="J46" s="4">
        <v>0.0129547788871703</v>
      </c>
      <c r="K46" t="s">
        <v>19</v>
      </c>
      <c r="L46" t="s">
        <v>0</v>
      </c>
      <c r="M46">
        <v>975035</v>
      </c>
    </row>
    <row r="47" spans="1:13">
      <c r="A47" t="s">
        <v>277</v>
      </c>
      <c r="B47" s="1">
        <v>435184</v>
      </c>
      <c r="C47" t="str">
        <f t="shared" si="0"/>
        <v>С</v>
      </c>
      <c r="I47" t="s">
        <v>162</v>
      </c>
      <c r="J47" s="4">
        <v>0.0114474125702724</v>
      </c>
      <c r="K47" t="s">
        <v>19</v>
      </c>
      <c r="L47" t="s">
        <v>0</v>
      </c>
      <c r="M47">
        <v>971492</v>
      </c>
    </row>
    <row r="48" spans="1:13">
      <c r="A48" t="s">
        <v>126</v>
      </c>
      <c r="B48" s="1">
        <v>396441</v>
      </c>
      <c r="C48" t="str">
        <f t="shared" si="0"/>
        <v>С</v>
      </c>
      <c r="I48" t="s">
        <v>165</v>
      </c>
      <c r="J48" s="4">
        <v>0.231150018562216</v>
      </c>
      <c r="K48" t="s">
        <v>19</v>
      </c>
      <c r="L48" t="s">
        <v>305</v>
      </c>
      <c r="M48">
        <v>453126</v>
      </c>
    </row>
    <row r="49" spans="1:13">
      <c r="A49" t="s">
        <v>150</v>
      </c>
      <c r="B49" s="1">
        <v>112151</v>
      </c>
      <c r="C49" t="str">
        <f t="shared" si="0"/>
        <v>С</v>
      </c>
      <c r="I49" t="s">
        <v>170</v>
      </c>
      <c r="J49" s="4">
        <v>0.223846498031572</v>
      </c>
      <c r="K49" t="s">
        <v>19</v>
      </c>
      <c r="L49" t="s">
        <v>305</v>
      </c>
      <c r="M49">
        <v>481374</v>
      </c>
    </row>
    <row r="50" spans="1:13">
      <c r="A50" t="s">
        <v>180</v>
      </c>
      <c r="B50" s="1">
        <v>198902</v>
      </c>
      <c r="C50" t="str">
        <f t="shared" si="0"/>
        <v>С</v>
      </c>
      <c r="I50" t="s">
        <v>68</v>
      </c>
      <c r="J50" s="4">
        <v>0.214339424757686</v>
      </c>
      <c r="K50" t="s">
        <v>19</v>
      </c>
      <c r="L50" t="s">
        <v>305</v>
      </c>
      <c r="M50">
        <v>820398</v>
      </c>
    </row>
    <row r="51" spans="1:13">
      <c r="A51" t="s">
        <v>98</v>
      </c>
      <c r="B51" s="1">
        <v>297854</v>
      </c>
      <c r="C51" t="str">
        <f t="shared" si="0"/>
        <v>С</v>
      </c>
      <c r="I51" t="s">
        <v>239</v>
      </c>
      <c r="J51" s="4">
        <v>0.207518768676344</v>
      </c>
      <c r="K51" t="s">
        <v>19</v>
      </c>
      <c r="L51" t="s">
        <v>305</v>
      </c>
      <c r="M51">
        <v>469256</v>
      </c>
    </row>
    <row r="52" spans="1:13">
      <c r="A52" t="s">
        <v>178</v>
      </c>
      <c r="B52" s="1">
        <v>104606</v>
      </c>
      <c r="C52" t="str">
        <f t="shared" si="0"/>
        <v>С</v>
      </c>
      <c r="I52" t="s">
        <v>118</v>
      </c>
      <c r="J52" s="4">
        <v>0.204559690995885</v>
      </c>
      <c r="K52" t="s">
        <v>19</v>
      </c>
      <c r="L52" t="s">
        <v>305</v>
      </c>
      <c r="M52">
        <v>815530</v>
      </c>
    </row>
    <row r="53" spans="1:13">
      <c r="A53" t="s">
        <v>76</v>
      </c>
      <c r="B53" s="1">
        <v>164390</v>
      </c>
      <c r="C53" t="str">
        <f t="shared" si="0"/>
        <v>С</v>
      </c>
      <c r="I53" t="s">
        <v>199</v>
      </c>
      <c r="J53" s="4">
        <v>0.201737417203592</v>
      </c>
      <c r="K53" t="s">
        <v>19</v>
      </c>
      <c r="L53" t="s">
        <v>305</v>
      </c>
      <c r="M53">
        <v>569123</v>
      </c>
    </row>
    <row r="54" spans="1:13">
      <c r="A54" t="s">
        <v>147</v>
      </c>
      <c r="B54" s="1">
        <v>135649</v>
      </c>
      <c r="C54" t="str">
        <f t="shared" si="0"/>
        <v>С</v>
      </c>
      <c r="I54" t="s">
        <v>103</v>
      </c>
      <c r="J54" s="4">
        <v>0.200581257314065</v>
      </c>
      <c r="K54" t="s">
        <v>19</v>
      </c>
      <c r="L54" t="s">
        <v>305</v>
      </c>
      <c r="M54">
        <v>454840</v>
      </c>
    </row>
    <row r="55" spans="1:13">
      <c r="A55" t="s">
        <v>61</v>
      </c>
      <c r="B55" s="1">
        <v>175720</v>
      </c>
      <c r="C55" t="str">
        <f t="shared" si="0"/>
        <v>С</v>
      </c>
      <c r="I55" t="s">
        <v>159</v>
      </c>
      <c r="J55" s="4">
        <v>0.195108370241496</v>
      </c>
      <c r="K55" t="s">
        <v>19</v>
      </c>
      <c r="L55" t="s">
        <v>305</v>
      </c>
      <c r="M55">
        <v>1433463</v>
      </c>
    </row>
    <row r="56" spans="1:13">
      <c r="A56" t="s">
        <v>136</v>
      </c>
      <c r="B56" s="1">
        <v>472433</v>
      </c>
      <c r="C56" t="str">
        <f t="shared" si="0"/>
        <v>С</v>
      </c>
      <c r="I56" t="s">
        <v>138</v>
      </c>
      <c r="J56" s="4">
        <v>0.189654595446454</v>
      </c>
      <c r="K56" t="s">
        <v>19</v>
      </c>
      <c r="L56" t="s">
        <v>305</v>
      </c>
      <c r="M56">
        <v>826949</v>
      </c>
    </row>
    <row r="57" spans="1:13">
      <c r="A57" t="s">
        <v>112</v>
      </c>
      <c r="B57" s="1">
        <v>154945</v>
      </c>
      <c r="C57" t="str">
        <f t="shared" si="0"/>
        <v>С</v>
      </c>
      <c r="I57" t="s">
        <v>96</v>
      </c>
      <c r="J57" s="4">
        <v>0.188513234762666</v>
      </c>
      <c r="K57" t="s">
        <v>19</v>
      </c>
      <c r="L57" t="s">
        <v>305</v>
      </c>
      <c r="M57">
        <v>1426306</v>
      </c>
    </row>
    <row r="58" spans="1:13">
      <c r="A58" t="s">
        <v>132</v>
      </c>
      <c r="B58" s="1">
        <v>169476</v>
      </c>
      <c r="C58" t="str">
        <f t="shared" si="0"/>
        <v>С</v>
      </c>
      <c r="I58" t="s">
        <v>139</v>
      </c>
      <c r="J58" s="4">
        <v>0.188338477622409</v>
      </c>
      <c r="K58" t="s">
        <v>19</v>
      </c>
      <c r="L58" t="s">
        <v>305</v>
      </c>
      <c r="M58">
        <v>594276</v>
      </c>
    </row>
    <row r="59" spans="1:13">
      <c r="A59" t="s">
        <v>249</v>
      </c>
      <c r="B59" s="1">
        <v>268853</v>
      </c>
      <c r="C59" t="str">
        <f t="shared" si="0"/>
        <v>С</v>
      </c>
      <c r="I59" t="s">
        <v>128</v>
      </c>
      <c r="J59" s="4">
        <v>0.186976479418614</v>
      </c>
      <c r="K59" t="s">
        <v>19</v>
      </c>
      <c r="L59" t="s">
        <v>305</v>
      </c>
      <c r="M59">
        <v>809221</v>
      </c>
    </row>
    <row r="60" spans="1:13">
      <c r="A60" t="s">
        <v>282</v>
      </c>
      <c r="B60" s="1">
        <v>193106</v>
      </c>
      <c r="C60" t="str">
        <f t="shared" si="0"/>
        <v>С</v>
      </c>
      <c r="I60" t="s">
        <v>70</v>
      </c>
      <c r="J60" s="4">
        <v>0.183452823547052</v>
      </c>
      <c r="K60" t="s">
        <v>19</v>
      </c>
      <c r="L60" t="s">
        <v>305</v>
      </c>
      <c r="M60">
        <v>601150</v>
      </c>
    </row>
    <row r="61" spans="1:13">
      <c r="A61" t="s">
        <v>74</v>
      </c>
      <c r="B61" s="1">
        <v>126357</v>
      </c>
      <c r="C61" t="str">
        <f t="shared" si="0"/>
        <v>С</v>
      </c>
      <c r="I61" t="s">
        <v>59</v>
      </c>
      <c r="J61" s="4">
        <v>0.178620379150326</v>
      </c>
      <c r="K61" t="s">
        <v>19</v>
      </c>
      <c r="L61" t="s">
        <v>305</v>
      </c>
      <c r="M61">
        <v>912903</v>
      </c>
    </row>
    <row r="62" spans="1:13">
      <c r="A62" t="s">
        <v>232</v>
      </c>
      <c r="B62" s="1">
        <v>140081</v>
      </c>
      <c r="C62" t="str">
        <f t="shared" si="0"/>
        <v>С</v>
      </c>
      <c r="I62" t="s">
        <v>127</v>
      </c>
      <c r="J62" s="4">
        <v>0.171290885773108</v>
      </c>
      <c r="K62" t="s">
        <v>19</v>
      </c>
      <c r="L62" t="s">
        <v>305</v>
      </c>
      <c r="M62">
        <v>623612</v>
      </c>
    </row>
    <row r="63" spans="1:13">
      <c r="A63" t="s">
        <v>272</v>
      </c>
      <c r="B63" s="1">
        <v>451858</v>
      </c>
      <c r="C63" t="str">
        <f t="shared" si="0"/>
        <v>С</v>
      </c>
      <c r="I63" t="s">
        <v>148</v>
      </c>
      <c r="J63" s="4">
        <v>0.165516659772318</v>
      </c>
      <c r="K63" t="s">
        <v>19</v>
      </c>
      <c r="L63" t="s">
        <v>305</v>
      </c>
      <c r="M63">
        <v>307505</v>
      </c>
    </row>
    <row r="64" spans="1:13">
      <c r="A64" t="s">
        <v>102</v>
      </c>
      <c r="B64" s="1">
        <v>664499</v>
      </c>
      <c r="C64" t="str">
        <f t="shared" si="0"/>
        <v>С</v>
      </c>
      <c r="I64" t="s">
        <v>253</v>
      </c>
      <c r="J64" s="4">
        <v>0.16270027518184</v>
      </c>
      <c r="K64" t="s">
        <v>19</v>
      </c>
      <c r="L64" t="s">
        <v>305</v>
      </c>
      <c r="M64">
        <v>268971</v>
      </c>
    </row>
    <row r="65" spans="1:13">
      <c r="A65" t="s">
        <v>73</v>
      </c>
      <c r="B65" s="1">
        <v>113365</v>
      </c>
      <c r="C65" t="str">
        <f t="shared" si="0"/>
        <v>С</v>
      </c>
      <c r="I65" t="s">
        <v>207</v>
      </c>
      <c r="J65" s="4">
        <v>0.158758600020341</v>
      </c>
      <c r="K65" t="s">
        <v>19</v>
      </c>
      <c r="L65" t="s">
        <v>305</v>
      </c>
      <c r="M65">
        <v>592385</v>
      </c>
    </row>
    <row r="66" spans="1:13">
      <c r="A66" t="s">
        <v>89</v>
      </c>
      <c r="B66" s="1">
        <v>516408</v>
      </c>
      <c r="C66" t="str">
        <f t="shared" si="0"/>
        <v>С</v>
      </c>
      <c r="I66" t="s">
        <v>57</v>
      </c>
      <c r="J66" s="4">
        <v>0.157901020767893</v>
      </c>
      <c r="K66" t="s">
        <v>19</v>
      </c>
      <c r="L66" t="s">
        <v>305</v>
      </c>
      <c r="M66">
        <v>865280</v>
      </c>
    </row>
    <row r="67" spans="1:13">
      <c r="A67" t="s">
        <v>115</v>
      </c>
      <c r="B67" s="1">
        <v>587092</v>
      </c>
      <c r="C67" t="str">
        <f t="shared" si="0"/>
        <v>С</v>
      </c>
      <c r="I67" t="s">
        <v>158</v>
      </c>
      <c r="J67" s="4">
        <v>0.150445696394493</v>
      </c>
      <c r="K67" t="s">
        <v>19</v>
      </c>
      <c r="L67" t="s">
        <v>305</v>
      </c>
      <c r="M67">
        <v>468693</v>
      </c>
    </row>
    <row r="68" spans="1:13">
      <c r="A68" t="s">
        <v>190</v>
      </c>
      <c r="B68" s="1">
        <v>967679</v>
      </c>
      <c r="C68" t="str">
        <f t="shared" si="0"/>
        <v>С</v>
      </c>
      <c r="I68" t="s">
        <v>67</v>
      </c>
      <c r="J68" s="4">
        <v>0.147837453334059</v>
      </c>
      <c r="K68" t="s">
        <v>19</v>
      </c>
      <c r="L68" t="s">
        <v>305</v>
      </c>
      <c r="M68">
        <v>1229548</v>
      </c>
    </row>
    <row r="69" spans="1:13">
      <c r="A69" t="s">
        <v>56</v>
      </c>
      <c r="B69" s="1">
        <v>705391</v>
      </c>
      <c r="C69" t="str">
        <f t="shared" ref="C69:C132" si="1">VLOOKUP(B69,$O$10:$P$12,2,1)</f>
        <v>С</v>
      </c>
      <c r="I69" t="s">
        <v>75</v>
      </c>
      <c r="J69" s="4">
        <v>0.14777707928668</v>
      </c>
      <c r="K69" t="s">
        <v>19</v>
      </c>
      <c r="L69" t="s">
        <v>305</v>
      </c>
      <c r="M69">
        <v>295746</v>
      </c>
    </row>
    <row r="70" spans="1:13">
      <c r="A70" t="s">
        <v>243</v>
      </c>
      <c r="B70" s="1">
        <v>121953</v>
      </c>
      <c r="C70" t="str">
        <f t="shared" si="1"/>
        <v>С</v>
      </c>
      <c r="I70" t="s">
        <v>254</v>
      </c>
      <c r="J70" s="4">
        <v>0.147121934873101</v>
      </c>
      <c r="K70" t="s">
        <v>19</v>
      </c>
      <c r="L70" t="s">
        <v>305</v>
      </c>
      <c r="M70">
        <v>269035</v>
      </c>
    </row>
    <row r="71" spans="1:13">
      <c r="A71" t="s">
        <v>148</v>
      </c>
      <c r="B71" s="1">
        <v>307505</v>
      </c>
      <c r="C71" t="str">
        <f t="shared" si="1"/>
        <v>С</v>
      </c>
      <c r="I71" t="s">
        <v>135</v>
      </c>
      <c r="J71" s="4">
        <v>0.145866487240741</v>
      </c>
      <c r="K71" t="s">
        <v>19</v>
      </c>
      <c r="L71" t="s">
        <v>305</v>
      </c>
      <c r="M71">
        <v>292362</v>
      </c>
    </row>
    <row r="72" spans="1:13">
      <c r="A72" t="s">
        <v>79</v>
      </c>
      <c r="B72" s="1">
        <v>128759</v>
      </c>
      <c r="C72" t="str">
        <f t="shared" si="1"/>
        <v>С</v>
      </c>
      <c r="I72" t="s">
        <v>82</v>
      </c>
      <c r="J72" s="4">
        <v>0.145425298228309</v>
      </c>
      <c r="K72" t="s">
        <v>19</v>
      </c>
      <c r="L72" t="s">
        <v>305</v>
      </c>
      <c r="M72">
        <v>481550</v>
      </c>
    </row>
    <row r="73" spans="1:13">
      <c r="A73" t="s">
        <v>176</v>
      </c>
      <c r="B73" s="1">
        <v>106775</v>
      </c>
      <c r="C73" t="str">
        <f t="shared" si="1"/>
        <v>С</v>
      </c>
      <c r="I73" t="s">
        <v>249</v>
      </c>
      <c r="J73" s="4">
        <v>0.145363352281718</v>
      </c>
      <c r="K73" t="s">
        <v>19</v>
      </c>
      <c r="L73" t="s">
        <v>305</v>
      </c>
      <c r="M73">
        <v>268853</v>
      </c>
    </row>
    <row r="74" spans="1:13">
      <c r="A74" t="s">
        <v>219</v>
      </c>
      <c r="B74" s="1">
        <v>240740</v>
      </c>
      <c r="C74" t="str">
        <f t="shared" si="1"/>
        <v>С</v>
      </c>
      <c r="I74" t="s">
        <v>252</v>
      </c>
      <c r="J74" s="4">
        <v>0.144985115949453</v>
      </c>
      <c r="K74" t="s">
        <v>19</v>
      </c>
      <c r="L74" t="s">
        <v>305</v>
      </c>
      <c r="M74">
        <v>405275</v>
      </c>
    </row>
    <row r="75" spans="1:13">
      <c r="A75" t="s">
        <v>137</v>
      </c>
      <c r="B75" s="1">
        <v>247931</v>
      </c>
      <c r="C75" t="str">
        <f t="shared" si="1"/>
        <v>С</v>
      </c>
      <c r="I75" t="s">
        <v>97</v>
      </c>
      <c r="J75" s="4">
        <v>0.144147980374068</v>
      </c>
      <c r="K75" t="s">
        <v>19</v>
      </c>
      <c r="L75" t="s">
        <v>305</v>
      </c>
      <c r="M75">
        <v>1234409</v>
      </c>
    </row>
    <row r="76" spans="1:13">
      <c r="A76" t="s">
        <v>205</v>
      </c>
      <c r="B76" s="1">
        <v>89480</v>
      </c>
      <c r="C76" t="str">
        <f t="shared" si="1"/>
        <v>С</v>
      </c>
      <c r="I76" t="s">
        <v>184</v>
      </c>
      <c r="J76" s="4">
        <v>0.136183743406962</v>
      </c>
      <c r="K76" t="s">
        <v>19</v>
      </c>
      <c r="L76" t="s">
        <v>305</v>
      </c>
      <c r="M76">
        <v>256885</v>
      </c>
    </row>
    <row r="77" spans="1:13">
      <c r="A77" t="s">
        <v>260</v>
      </c>
      <c r="B77" s="1">
        <v>778007</v>
      </c>
      <c r="C77" t="str">
        <f t="shared" si="1"/>
        <v>С</v>
      </c>
      <c r="I77" t="s">
        <v>259</v>
      </c>
      <c r="J77" s="4">
        <v>0.134766742010245</v>
      </c>
      <c r="K77" t="s">
        <v>19</v>
      </c>
      <c r="L77" t="s">
        <v>305</v>
      </c>
      <c r="M77">
        <v>404165</v>
      </c>
    </row>
    <row r="78" spans="1:13">
      <c r="A78" t="s">
        <v>203</v>
      </c>
      <c r="B78" s="1">
        <v>144543</v>
      </c>
      <c r="C78" t="str">
        <f t="shared" si="1"/>
        <v>С</v>
      </c>
      <c r="I78" t="s">
        <v>209</v>
      </c>
      <c r="J78" s="4">
        <v>0.125865990509443</v>
      </c>
      <c r="K78" t="s">
        <v>19</v>
      </c>
      <c r="L78" t="s">
        <v>305</v>
      </c>
      <c r="M78">
        <v>314131</v>
      </c>
    </row>
    <row r="79" spans="1:13">
      <c r="A79" t="s">
        <v>59</v>
      </c>
      <c r="B79" s="1">
        <v>912903</v>
      </c>
      <c r="C79" t="str">
        <f t="shared" si="1"/>
        <v>С</v>
      </c>
      <c r="I79" t="s">
        <v>56</v>
      </c>
      <c r="J79" s="4">
        <v>0.124490864867565</v>
      </c>
      <c r="K79" t="s">
        <v>19</v>
      </c>
      <c r="L79" t="s">
        <v>305</v>
      </c>
      <c r="M79">
        <v>705391</v>
      </c>
    </row>
    <row r="80" spans="1:13">
      <c r="A80" t="s">
        <v>93</v>
      </c>
      <c r="B80" s="1">
        <v>1319290</v>
      </c>
      <c r="C80" t="str">
        <f t="shared" si="1"/>
        <v>С</v>
      </c>
      <c r="I80" t="s">
        <v>163</v>
      </c>
      <c r="J80" s="4">
        <v>0.117741581366052</v>
      </c>
      <c r="K80" t="s">
        <v>19</v>
      </c>
      <c r="L80" t="s">
        <v>305</v>
      </c>
      <c r="M80">
        <v>337284</v>
      </c>
    </row>
    <row r="81" spans="1:13">
      <c r="A81" t="s">
        <v>242</v>
      </c>
      <c r="B81" s="1">
        <v>94694</v>
      </c>
      <c r="C81" t="str">
        <f t="shared" si="1"/>
        <v>С</v>
      </c>
      <c r="I81" t="s">
        <v>81</v>
      </c>
      <c r="J81" s="4">
        <v>0.113074910689226</v>
      </c>
      <c r="K81" t="s">
        <v>19</v>
      </c>
      <c r="L81" t="s">
        <v>305</v>
      </c>
      <c r="M81">
        <v>249301</v>
      </c>
    </row>
    <row r="82" spans="1:13">
      <c r="A82" t="s">
        <v>67</v>
      </c>
      <c r="B82" s="1">
        <v>1229548</v>
      </c>
      <c r="C82" t="str">
        <f t="shared" si="1"/>
        <v>С</v>
      </c>
      <c r="I82" t="s">
        <v>117</v>
      </c>
      <c r="J82" s="4">
        <v>0.11286169601682</v>
      </c>
      <c r="K82" t="s">
        <v>19</v>
      </c>
      <c r="L82" t="s">
        <v>305</v>
      </c>
      <c r="M82">
        <v>1186441</v>
      </c>
    </row>
    <row r="83" spans="1:13">
      <c r="A83" t="s">
        <v>84</v>
      </c>
      <c r="B83" s="1">
        <v>916116</v>
      </c>
      <c r="C83" t="str">
        <f t="shared" si="1"/>
        <v>С</v>
      </c>
      <c r="I83" t="s">
        <v>119</v>
      </c>
      <c r="J83" s="4">
        <v>0.109231084266019</v>
      </c>
      <c r="K83" t="s">
        <v>19</v>
      </c>
      <c r="L83" t="s">
        <v>305</v>
      </c>
      <c r="M83">
        <v>318996</v>
      </c>
    </row>
    <row r="84" spans="1:13">
      <c r="A84" t="s">
        <v>255</v>
      </c>
      <c r="B84" s="1">
        <v>115732</v>
      </c>
      <c r="C84" t="str">
        <f t="shared" si="1"/>
        <v>С</v>
      </c>
      <c r="I84" t="s">
        <v>206</v>
      </c>
      <c r="J84" s="4">
        <v>0.844743146526311</v>
      </c>
      <c r="K84" t="s">
        <v>19</v>
      </c>
      <c r="L84" t="s">
        <v>300</v>
      </c>
      <c r="M84">
        <v>384300</v>
      </c>
    </row>
    <row r="85" spans="1:13">
      <c r="A85" t="s">
        <v>94</v>
      </c>
      <c r="B85" s="1">
        <v>1565253</v>
      </c>
      <c r="C85" t="str">
        <f t="shared" si="1"/>
        <v>С</v>
      </c>
      <c r="I85" t="s">
        <v>90</v>
      </c>
      <c r="J85" s="4">
        <v>0.786795282287541</v>
      </c>
      <c r="K85" t="s">
        <v>19</v>
      </c>
      <c r="L85" t="s">
        <v>300</v>
      </c>
      <c r="M85">
        <v>320915</v>
      </c>
    </row>
    <row r="86" spans="1:13">
      <c r="A86" t="s">
        <v>142</v>
      </c>
      <c r="B86" s="1">
        <v>113907</v>
      </c>
      <c r="C86" t="str">
        <f t="shared" si="1"/>
        <v>С</v>
      </c>
      <c r="I86" t="s">
        <v>84</v>
      </c>
      <c r="J86" s="4">
        <v>0.746004897564953</v>
      </c>
      <c r="K86" t="s">
        <v>19</v>
      </c>
      <c r="L86" t="s">
        <v>300</v>
      </c>
      <c r="M86">
        <v>916116</v>
      </c>
    </row>
    <row r="87" spans="1:13">
      <c r="A87" t="s">
        <v>188</v>
      </c>
      <c r="B87" s="1">
        <v>250877</v>
      </c>
      <c r="C87" t="str">
        <f t="shared" si="1"/>
        <v>С</v>
      </c>
      <c r="I87" t="s">
        <v>129</v>
      </c>
      <c r="J87" s="4">
        <v>0.743877483257557</v>
      </c>
      <c r="K87" t="s">
        <v>19</v>
      </c>
      <c r="L87" t="s">
        <v>300</v>
      </c>
      <c r="M87">
        <v>909346</v>
      </c>
    </row>
    <row r="88" spans="1:13">
      <c r="A88" t="s">
        <v>77</v>
      </c>
      <c r="B88" s="1">
        <v>178080</v>
      </c>
      <c r="C88" t="str">
        <f t="shared" si="1"/>
        <v>С</v>
      </c>
      <c r="I88" t="s">
        <v>95</v>
      </c>
      <c r="J88" s="4">
        <v>0.734732709107912</v>
      </c>
      <c r="K88" t="s">
        <v>19</v>
      </c>
      <c r="L88" t="s">
        <v>300</v>
      </c>
      <c r="M88">
        <v>862743</v>
      </c>
    </row>
    <row r="89" spans="1:13">
      <c r="A89" t="s">
        <v>233</v>
      </c>
      <c r="B89" s="1">
        <v>166791</v>
      </c>
      <c r="C89" t="str">
        <f t="shared" si="1"/>
        <v>С</v>
      </c>
      <c r="I89" t="s">
        <v>58</v>
      </c>
      <c r="J89" s="4">
        <v>0.727215979551828</v>
      </c>
      <c r="K89" t="s">
        <v>19</v>
      </c>
      <c r="L89" t="s">
        <v>300</v>
      </c>
      <c r="M89">
        <v>1143265</v>
      </c>
    </row>
    <row r="90" spans="1:13">
      <c r="A90" t="s">
        <v>133</v>
      </c>
      <c r="B90" s="1">
        <v>213519</v>
      </c>
      <c r="C90" t="str">
        <f t="shared" si="1"/>
        <v>С</v>
      </c>
      <c r="I90" t="s">
        <v>214</v>
      </c>
      <c r="J90" s="4">
        <v>0.723160321715963</v>
      </c>
      <c r="K90" t="s">
        <v>19</v>
      </c>
      <c r="L90" t="s">
        <v>300</v>
      </c>
      <c r="M90">
        <v>398790</v>
      </c>
    </row>
    <row r="91" spans="1:13">
      <c r="A91" t="s">
        <v>158</v>
      </c>
      <c r="B91" s="1">
        <v>468693</v>
      </c>
      <c r="C91" t="str">
        <f t="shared" si="1"/>
        <v>С</v>
      </c>
      <c r="I91" t="s">
        <v>146</v>
      </c>
      <c r="J91" s="4">
        <v>0.707283867541973</v>
      </c>
      <c r="K91" t="s">
        <v>19</v>
      </c>
      <c r="L91" t="s">
        <v>300</v>
      </c>
      <c r="M91">
        <v>333967</v>
      </c>
    </row>
    <row r="92" spans="1:13">
      <c r="A92" t="s">
        <v>212</v>
      </c>
      <c r="B92" s="1">
        <v>241927</v>
      </c>
      <c r="C92" t="str">
        <f t="shared" si="1"/>
        <v>С</v>
      </c>
      <c r="I92" t="s">
        <v>272</v>
      </c>
      <c r="J92" s="4">
        <v>0.692095893335302</v>
      </c>
      <c r="K92" t="s">
        <v>19</v>
      </c>
      <c r="L92" t="s">
        <v>300</v>
      </c>
      <c r="M92">
        <v>451858</v>
      </c>
    </row>
    <row r="93" spans="1:13">
      <c r="A93" t="s">
        <v>209</v>
      </c>
      <c r="B93" s="1">
        <v>314131</v>
      </c>
      <c r="C93" t="str">
        <f t="shared" si="1"/>
        <v>С</v>
      </c>
      <c r="I93" t="s">
        <v>224</v>
      </c>
      <c r="J93" s="4">
        <v>0.688085850843687</v>
      </c>
      <c r="K93" t="s">
        <v>19</v>
      </c>
      <c r="L93" t="s">
        <v>300</v>
      </c>
      <c r="M93">
        <v>1214210</v>
      </c>
    </row>
    <row r="94" spans="1:13">
      <c r="A94" t="s">
        <v>211</v>
      </c>
      <c r="B94" s="1">
        <v>150247</v>
      </c>
      <c r="C94" t="str">
        <f t="shared" si="1"/>
        <v>С</v>
      </c>
      <c r="I94" t="s">
        <v>265</v>
      </c>
      <c r="J94" s="4">
        <v>0.681420247614635</v>
      </c>
      <c r="K94" t="s">
        <v>19</v>
      </c>
      <c r="L94" t="s">
        <v>300</v>
      </c>
      <c r="M94">
        <v>408345</v>
      </c>
    </row>
    <row r="95" spans="1:13">
      <c r="A95" t="s">
        <v>95</v>
      </c>
      <c r="B95" s="1">
        <v>862743</v>
      </c>
      <c r="C95" t="str">
        <f t="shared" si="1"/>
        <v>С</v>
      </c>
      <c r="I95" t="s">
        <v>105</v>
      </c>
      <c r="J95" s="4">
        <v>0.6712692869061</v>
      </c>
      <c r="K95" t="s">
        <v>19</v>
      </c>
      <c r="L95" t="s">
        <v>300</v>
      </c>
      <c r="M95">
        <v>526669</v>
      </c>
    </row>
    <row r="96" spans="1:13">
      <c r="A96" t="s">
        <v>111</v>
      </c>
      <c r="B96" s="1">
        <v>97447</v>
      </c>
      <c r="C96" t="str">
        <f t="shared" si="1"/>
        <v>С</v>
      </c>
      <c r="I96" t="s">
        <v>208</v>
      </c>
      <c r="J96" s="4">
        <v>0.667499789731526</v>
      </c>
      <c r="K96" t="s">
        <v>19</v>
      </c>
      <c r="L96" t="s">
        <v>300</v>
      </c>
      <c r="M96">
        <v>1160562</v>
      </c>
    </row>
    <row r="97" spans="1:13">
      <c r="A97" t="s">
        <v>177</v>
      </c>
      <c r="B97" s="1">
        <v>130960</v>
      </c>
      <c r="C97" t="str">
        <f t="shared" si="1"/>
        <v>С</v>
      </c>
      <c r="I97" t="s">
        <v>93</v>
      </c>
      <c r="J97" s="4">
        <v>0.65731304194173</v>
      </c>
      <c r="K97" t="s">
        <v>19</v>
      </c>
      <c r="L97" t="s">
        <v>300</v>
      </c>
      <c r="M97">
        <v>1319290</v>
      </c>
    </row>
    <row r="98" spans="1:13">
      <c r="A98" t="s">
        <v>171</v>
      </c>
      <c r="B98" s="1">
        <v>888583</v>
      </c>
      <c r="C98" t="str">
        <f t="shared" si="1"/>
        <v>С</v>
      </c>
      <c r="I98" t="s">
        <v>110</v>
      </c>
      <c r="J98" s="4">
        <v>0.642823719194746</v>
      </c>
      <c r="K98" t="s">
        <v>19</v>
      </c>
      <c r="L98" t="s">
        <v>300</v>
      </c>
      <c r="M98">
        <v>309962</v>
      </c>
    </row>
    <row r="99" spans="1:13">
      <c r="A99" t="s">
        <v>103</v>
      </c>
      <c r="B99" s="1">
        <v>454840</v>
      </c>
      <c r="C99" t="str">
        <f t="shared" si="1"/>
        <v>С</v>
      </c>
      <c r="I99" t="s">
        <v>137</v>
      </c>
      <c r="J99" s="4">
        <v>0.631676780905843</v>
      </c>
      <c r="K99" t="s">
        <v>19</v>
      </c>
      <c r="L99" t="s">
        <v>300</v>
      </c>
      <c r="M99">
        <v>247931</v>
      </c>
    </row>
    <row r="100" spans="1:13">
      <c r="A100" t="s">
        <v>274</v>
      </c>
      <c r="B100" s="1">
        <v>150811</v>
      </c>
      <c r="C100" t="str">
        <f t="shared" si="1"/>
        <v>С</v>
      </c>
      <c r="I100" t="s">
        <v>174</v>
      </c>
      <c r="J100" s="4">
        <v>0.622176378743734</v>
      </c>
      <c r="K100" t="s">
        <v>19</v>
      </c>
      <c r="L100" t="s">
        <v>300</v>
      </c>
      <c r="M100">
        <v>325163</v>
      </c>
    </row>
    <row r="101" spans="1:13">
      <c r="A101" t="s">
        <v>96</v>
      </c>
      <c r="B101" s="1">
        <v>1426306</v>
      </c>
      <c r="C101" t="str">
        <f t="shared" si="1"/>
        <v>С</v>
      </c>
      <c r="I101" t="s">
        <v>53</v>
      </c>
      <c r="J101" s="4">
        <v>0.598583349625259</v>
      </c>
      <c r="K101" t="s">
        <v>19</v>
      </c>
      <c r="L101" t="s">
        <v>300</v>
      </c>
      <c r="M101">
        <v>642309</v>
      </c>
    </row>
    <row r="102" spans="1:13">
      <c r="A102" t="s">
        <v>227</v>
      </c>
      <c r="B102" s="1">
        <v>106384</v>
      </c>
      <c r="C102" t="str">
        <f t="shared" si="1"/>
        <v>С</v>
      </c>
      <c r="I102" t="s">
        <v>268</v>
      </c>
      <c r="J102" s="4">
        <v>0.556595283421537</v>
      </c>
      <c r="K102" t="s">
        <v>19</v>
      </c>
      <c r="L102" t="s">
        <v>300</v>
      </c>
      <c r="M102">
        <v>289018</v>
      </c>
    </row>
    <row r="103" spans="1:13">
      <c r="A103" t="s">
        <v>68</v>
      </c>
      <c r="B103" s="1">
        <v>820398</v>
      </c>
      <c r="C103" t="str">
        <f t="shared" si="1"/>
        <v>С</v>
      </c>
      <c r="I103" t="s">
        <v>91</v>
      </c>
      <c r="J103" s="4">
        <v>0.554449375629595</v>
      </c>
      <c r="K103" t="s">
        <v>19</v>
      </c>
      <c r="L103" t="s">
        <v>300</v>
      </c>
      <c r="M103">
        <v>752738</v>
      </c>
    </row>
    <row r="104" spans="1:13">
      <c r="A104" t="s">
        <v>52</v>
      </c>
      <c r="B104" s="1">
        <v>126012</v>
      </c>
      <c r="C104" t="str">
        <f t="shared" si="1"/>
        <v>С</v>
      </c>
      <c r="I104" t="s">
        <v>94</v>
      </c>
      <c r="J104" s="4">
        <v>0.547296357739918</v>
      </c>
      <c r="K104" t="s">
        <v>19</v>
      </c>
      <c r="L104" t="s">
        <v>300</v>
      </c>
      <c r="M104">
        <v>1565253</v>
      </c>
    </row>
    <row r="105" spans="1:13">
      <c r="A105" t="s">
        <v>75</v>
      </c>
      <c r="B105" s="1">
        <v>295746</v>
      </c>
      <c r="C105" t="str">
        <f t="shared" si="1"/>
        <v>С</v>
      </c>
      <c r="I105" t="s">
        <v>277</v>
      </c>
      <c r="J105" s="4">
        <v>0.54418016889806</v>
      </c>
      <c r="K105" t="s">
        <v>19</v>
      </c>
      <c r="L105" t="s">
        <v>300</v>
      </c>
      <c r="M105">
        <v>435184</v>
      </c>
    </row>
    <row r="106" spans="1:13">
      <c r="A106" t="s">
        <v>48</v>
      </c>
      <c r="B106" s="1">
        <v>159812</v>
      </c>
      <c r="C106" t="str">
        <f t="shared" si="1"/>
        <v>С</v>
      </c>
      <c r="I106" t="s">
        <v>87</v>
      </c>
      <c r="J106" s="4">
        <v>0.536443199628989</v>
      </c>
      <c r="K106" t="s">
        <v>19</v>
      </c>
      <c r="L106" t="s">
        <v>300</v>
      </c>
      <c r="M106">
        <v>334281</v>
      </c>
    </row>
    <row r="107" spans="1:13">
      <c r="A107" t="s">
        <v>81</v>
      </c>
      <c r="B107" s="1">
        <v>249301</v>
      </c>
      <c r="C107" t="str">
        <f t="shared" si="1"/>
        <v>С</v>
      </c>
      <c r="I107" t="s">
        <v>238</v>
      </c>
      <c r="J107" s="4">
        <v>0.510973417039536</v>
      </c>
      <c r="K107" t="s">
        <v>19</v>
      </c>
      <c r="L107" t="s">
        <v>300</v>
      </c>
      <c r="M107">
        <v>268266</v>
      </c>
    </row>
    <row r="108" spans="1:13">
      <c r="A108" t="s">
        <v>167</v>
      </c>
      <c r="B108" s="1">
        <v>191991</v>
      </c>
      <c r="C108" t="str">
        <f t="shared" si="1"/>
        <v>С</v>
      </c>
      <c r="I108" t="s">
        <v>145</v>
      </c>
      <c r="J108" s="4">
        <v>0.468447638939144</v>
      </c>
      <c r="K108" t="s">
        <v>19</v>
      </c>
      <c r="L108" t="s">
        <v>300</v>
      </c>
      <c r="M108">
        <v>499162</v>
      </c>
    </row>
    <row r="109" spans="1:13">
      <c r="A109" t="s">
        <v>226</v>
      </c>
      <c r="B109" s="1">
        <v>315185</v>
      </c>
      <c r="C109" t="str">
        <f t="shared" si="1"/>
        <v>С</v>
      </c>
      <c r="I109" t="s">
        <v>116</v>
      </c>
      <c r="J109" s="4">
        <v>0.457597216801891</v>
      </c>
      <c r="K109" t="s">
        <v>19</v>
      </c>
      <c r="L109" t="s">
        <v>300</v>
      </c>
      <c r="M109">
        <v>571117</v>
      </c>
    </row>
    <row r="110" spans="1:13">
      <c r="A110" t="s">
        <v>194</v>
      </c>
      <c r="B110" s="1">
        <v>132989</v>
      </c>
      <c r="C110" t="str">
        <f t="shared" si="1"/>
        <v>С</v>
      </c>
      <c r="I110" t="s">
        <v>161</v>
      </c>
      <c r="J110" s="4">
        <v>0.453363617055321</v>
      </c>
      <c r="K110" t="s">
        <v>19</v>
      </c>
      <c r="L110" t="s">
        <v>300</v>
      </c>
      <c r="M110">
        <v>532780</v>
      </c>
    </row>
    <row r="111" spans="1:13">
      <c r="A111" t="s">
        <v>256</v>
      </c>
      <c r="B111" s="1">
        <v>127768</v>
      </c>
      <c r="C111" t="str">
        <f t="shared" si="1"/>
        <v>С</v>
      </c>
      <c r="I111" t="s">
        <v>80</v>
      </c>
      <c r="J111" s="4">
        <v>0.452261386798908</v>
      </c>
      <c r="K111" t="s">
        <v>19</v>
      </c>
      <c r="L111" t="s">
        <v>300</v>
      </c>
      <c r="M111">
        <v>259383</v>
      </c>
    </row>
    <row r="112" spans="1:13">
      <c r="A112" t="s">
        <v>85</v>
      </c>
      <c r="B112" s="1">
        <v>898315</v>
      </c>
      <c r="C112" t="str">
        <f t="shared" si="1"/>
        <v>С</v>
      </c>
      <c r="I112" t="s">
        <v>130</v>
      </c>
      <c r="J112" s="4">
        <v>0.449493801916543</v>
      </c>
      <c r="K112" t="s">
        <v>19</v>
      </c>
      <c r="L112" t="s">
        <v>300</v>
      </c>
      <c r="M112">
        <v>493543</v>
      </c>
    </row>
    <row r="113" spans="1:13">
      <c r="A113" t="s">
        <v>186</v>
      </c>
      <c r="B113" s="1">
        <v>115835</v>
      </c>
      <c r="C113" t="str">
        <f t="shared" si="1"/>
        <v>С</v>
      </c>
      <c r="I113" t="s">
        <v>71</v>
      </c>
      <c r="J113" s="4">
        <v>0.438941331211476</v>
      </c>
      <c r="K113" t="s">
        <v>19</v>
      </c>
      <c r="L113" t="s">
        <v>300</v>
      </c>
      <c r="M113">
        <v>1238679</v>
      </c>
    </row>
    <row r="114" spans="1:13">
      <c r="A114" t="s">
        <v>192</v>
      </c>
      <c r="B114" s="1">
        <v>1280378</v>
      </c>
      <c r="C114" t="str">
        <f t="shared" si="1"/>
        <v>С</v>
      </c>
      <c r="I114" t="s">
        <v>192</v>
      </c>
      <c r="J114" s="4">
        <v>0.427354780203832</v>
      </c>
      <c r="K114" t="s">
        <v>19</v>
      </c>
      <c r="L114" t="s">
        <v>300</v>
      </c>
      <c r="M114">
        <v>1280378</v>
      </c>
    </row>
    <row r="115" spans="1:13">
      <c r="A115" t="s">
        <v>117</v>
      </c>
      <c r="B115" s="1">
        <v>1186441</v>
      </c>
      <c r="C115" t="str">
        <f t="shared" si="1"/>
        <v>С</v>
      </c>
      <c r="I115" t="s">
        <v>104</v>
      </c>
      <c r="J115" s="4">
        <v>0.410932480383562</v>
      </c>
      <c r="K115" t="s">
        <v>19</v>
      </c>
      <c r="L115" t="s">
        <v>300</v>
      </c>
      <c r="M115">
        <v>999852</v>
      </c>
    </row>
    <row r="116" spans="1:13">
      <c r="A116" t="s">
        <v>152</v>
      </c>
      <c r="B116" s="1">
        <v>133086</v>
      </c>
      <c r="C116" t="str">
        <f t="shared" si="1"/>
        <v>С</v>
      </c>
      <c r="I116" t="s">
        <v>85</v>
      </c>
      <c r="J116" s="4">
        <v>0.396071433942346</v>
      </c>
      <c r="K116" t="s">
        <v>19</v>
      </c>
      <c r="L116" t="s">
        <v>300</v>
      </c>
      <c r="M116">
        <v>898315</v>
      </c>
    </row>
    <row r="117" spans="1:13">
      <c r="A117" t="s">
        <v>234</v>
      </c>
      <c r="B117" s="1">
        <v>219851</v>
      </c>
      <c r="C117" t="str">
        <f t="shared" si="1"/>
        <v>С</v>
      </c>
      <c r="I117" t="s">
        <v>200</v>
      </c>
      <c r="J117" s="4">
        <v>0.379947110137424</v>
      </c>
      <c r="K117" t="s">
        <v>19</v>
      </c>
      <c r="L117" t="s">
        <v>300</v>
      </c>
      <c r="M117">
        <v>393756</v>
      </c>
    </row>
    <row r="118" spans="1:13">
      <c r="A118" t="s">
        <v>187</v>
      </c>
      <c r="B118" s="1">
        <v>179437</v>
      </c>
      <c r="C118" t="str">
        <f t="shared" si="1"/>
        <v>С</v>
      </c>
      <c r="I118" t="s">
        <v>212</v>
      </c>
      <c r="J118" s="4">
        <v>0.0995692996924941</v>
      </c>
      <c r="K118" t="s">
        <v>24</v>
      </c>
      <c r="L118" t="s">
        <v>0</v>
      </c>
      <c r="M118">
        <v>241927</v>
      </c>
    </row>
    <row r="119" spans="1:13">
      <c r="A119" t="s">
        <v>153</v>
      </c>
      <c r="B119" s="1">
        <v>201088</v>
      </c>
      <c r="C119" t="str">
        <f t="shared" si="1"/>
        <v>С</v>
      </c>
      <c r="I119" t="s">
        <v>233</v>
      </c>
      <c r="J119" s="4">
        <v>0.0983747599789208</v>
      </c>
      <c r="K119" t="s">
        <v>24</v>
      </c>
      <c r="L119" t="s">
        <v>0</v>
      </c>
      <c r="M119">
        <v>166791</v>
      </c>
    </row>
    <row r="120" spans="1:13">
      <c r="A120" t="s">
        <v>267</v>
      </c>
      <c r="B120" s="1">
        <v>155591</v>
      </c>
      <c r="C120" t="str">
        <f t="shared" si="1"/>
        <v>С</v>
      </c>
      <c r="I120" t="s">
        <v>217</v>
      </c>
      <c r="J120" s="4">
        <v>0.0325644294865996</v>
      </c>
      <c r="K120" t="s">
        <v>24</v>
      </c>
      <c r="L120" t="s">
        <v>0</v>
      </c>
      <c r="M120">
        <v>138894</v>
      </c>
    </row>
    <row r="121" spans="1:13">
      <c r="A121" t="s">
        <v>168</v>
      </c>
      <c r="B121" s="1">
        <v>442582</v>
      </c>
      <c r="C121" t="str">
        <f t="shared" si="1"/>
        <v>С</v>
      </c>
      <c r="I121" t="s">
        <v>264</v>
      </c>
      <c r="J121" s="4">
        <v>0.0305115830350536</v>
      </c>
      <c r="K121" t="s">
        <v>24</v>
      </c>
      <c r="L121" t="s">
        <v>0</v>
      </c>
      <c r="M121">
        <v>208109</v>
      </c>
    </row>
    <row r="122" spans="1:13">
      <c r="A122" t="s">
        <v>252</v>
      </c>
      <c r="B122" s="1">
        <v>405275</v>
      </c>
      <c r="C122" t="str">
        <f t="shared" si="1"/>
        <v>С</v>
      </c>
      <c r="I122" t="s">
        <v>155</v>
      </c>
      <c r="J122" s="4">
        <v>0.0296955112891692</v>
      </c>
      <c r="K122" t="s">
        <v>24</v>
      </c>
      <c r="L122" t="s">
        <v>0</v>
      </c>
      <c r="M122">
        <v>139083</v>
      </c>
    </row>
    <row r="123" spans="1:13">
      <c r="A123" t="s">
        <v>60</v>
      </c>
      <c r="B123" s="1">
        <v>107488</v>
      </c>
      <c r="C123" t="str">
        <f t="shared" si="1"/>
        <v>С</v>
      </c>
      <c r="I123" t="s">
        <v>262</v>
      </c>
      <c r="J123" s="4">
        <v>0.0290419009770675</v>
      </c>
      <c r="K123" t="s">
        <v>24</v>
      </c>
      <c r="L123" t="s">
        <v>0</v>
      </c>
      <c r="M123">
        <v>184718</v>
      </c>
    </row>
    <row r="124" spans="1:13">
      <c r="A124" t="s">
        <v>217</v>
      </c>
      <c r="B124" s="1">
        <v>138894</v>
      </c>
      <c r="C124" t="str">
        <f t="shared" si="1"/>
        <v>С</v>
      </c>
      <c r="I124" t="s">
        <v>213</v>
      </c>
      <c r="J124" s="4">
        <v>0.0290293224858844</v>
      </c>
      <c r="K124" t="s">
        <v>24</v>
      </c>
      <c r="L124" t="s">
        <v>0</v>
      </c>
      <c r="M124">
        <v>244796</v>
      </c>
    </row>
    <row r="125" spans="1:13">
      <c r="A125" t="s">
        <v>69</v>
      </c>
      <c r="B125" s="1">
        <v>826720</v>
      </c>
      <c r="C125" t="str">
        <f t="shared" si="1"/>
        <v>С</v>
      </c>
      <c r="I125" t="s">
        <v>77</v>
      </c>
      <c r="J125" s="4">
        <v>0.0287122624561198</v>
      </c>
      <c r="K125" t="s">
        <v>24</v>
      </c>
      <c r="L125" t="s">
        <v>0</v>
      </c>
      <c r="M125">
        <v>178080</v>
      </c>
    </row>
    <row r="126" spans="1:13">
      <c r="A126" t="s">
        <v>181</v>
      </c>
      <c r="B126" s="1">
        <v>153360</v>
      </c>
      <c r="C126" t="str">
        <f t="shared" si="1"/>
        <v>С</v>
      </c>
      <c r="I126" t="s">
        <v>151</v>
      </c>
      <c r="J126" s="4">
        <v>0.025830771097605</v>
      </c>
      <c r="K126" t="s">
        <v>24</v>
      </c>
      <c r="L126" t="s">
        <v>0</v>
      </c>
      <c r="M126">
        <v>126964</v>
      </c>
    </row>
    <row r="127" spans="1:13">
      <c r="A127" t="s">
        <v>63</v>
      </c>
      <c r="B127" s="1">
        <v>195911</v>
      </c>
      <c r="C127" t="str">
        <f t="shared" si="1"/>
        <v>С</v>
      </c>
      <c r="I127" t="s">
        <v>48</v>
      </c>
      <c r="J127" s="4">
        <v>0.025705837262375</v>
      </c>
      <c r="K127" t="s">
        <v>24</v>
      </c>
      <c r="L127" t="s">
        <v>0</v>
      </c>
      <c r="M127">
        <v>159812</v>
      </c>
    </row>
    <row r="128" spans="1:13">
      <c r="A128" t="s">
        <v>174</v>
      </c>
      <c r="B128" s="1">
        <v>325163</v>
      </c>
      <c r="C128" t="str">
        <f t="shared" si="1"/>
        <v>С</v>
      </c>
      <c r="I128" t="s">
        <v>167</v>
      </c>
      <c r="J128" s="4">
        <v>0.0255926193646275</v>
      </c>
      <c r="K128" t="s">
        <v>24</v>
      </c>
      <c r="L128" t="s">
        <v>0</v>
      </c>
      <c r="M128">
        <v>191991</v>
      </c>
    </row>
    <row r="129" spans="1:13">
      <c r="A129" t="s">
        <v>193</v>
      </c>
      <c r="B129" s="1">
        <v>106845</v>
      </c>
      <c r="C129" t="str">
        <f t="shared" si="1"/>
        <v>С</v>
      </c>
      <c r="I129" t="s">
        <v>231</v>
      </c>
      <c r="J129" s="4">
        <v>0.0251549562578643</v>
      </c>
      <c r="K129" t="s">
        <v>24</v>
      </c>
      <c r="L129" t="s">
        <v>0</v>
      </c>
      <c r="M129">
        <v>201476</v>
      </c>
    </row>
    <row r="130" spans="1:13">
      <c r="A130" t="s">
        <v>65</v>
      </c>
      <c r="B130" s="1">
        <v>361220</v>
      </c>
      <c r="C130" t="str">
        <f t="shared" si="1"/>
        <v>С</v>
      </c>
      <c r="I130" t="s">
        <v>282</v>
      </c>
      <c r="J130" s="4">
        <v>0.02512311435591</v>
      </c>
      <c r="K130" t="s">
        <v>24</v>
      </c>
      <c r="L130" t="s">
        <v>0</v>
      </c>
      <c r="M130">
        <v>193106</v>
      </c>
    </row>
    <row r="131" spans="1:13">
      <c r="A131" t="s">
        <v>169</v>
      </c>
      <c r="B131" s="1">
        <v>563820</v>
      </c>
      <c r="C131" t="str">
        <f t="shared" si="1"/>
        <v>С</v>
      </c>
      <c r="I131" t="s">
        <v>228</v>
      </c>
      <c r="J131" s="4">
        <v>0.0250971416705632</v>
      </c>
      <c r="K131" t="s">
        <v>24</v>
      </c>
      <c r="L131" t="s">
        <v>0</v>
      </c>
      <c r="M131">
        <v>169887</v>
      </c>
    </row>
    <row r="132" spans="1:13">
      <c r="A132" t="s">
        <v>213</v>
      </c>
      <c r="B132" s="1">
        <v>244796</v>
      </c>
      <c r="C132" t="str">
        <f t="shared" si="1"/>
        <v>С</v>
      </c>
      <c r="I132" t="s">
        <v>194</v>
      </c>
      <c r="J132" s="4">
        <v>0.0249847366398442</v>
      </c>
      <c r="K132" t="s">
        <v>24</v>
      </c>
      <c r="L132" t="s">
        <v>0</v>
      </c>
      <c r="M132">
        <v>132989</v>
      </c>
    </row>
    <row r="133" spans="1:13">
      <c r="A133" t="s">
        <v>250</v>
      </c>
      <c r="B133" s="1">
        <v>435125</v>
      </c>
      <c r="C133" t="str">
        <f t="shared" ref="C133:C196" si="2">VLOOKUP(B133,$O$10:$P$12,2,1)</f>
        <v>С</v>
      </c>
      <c r="I133" t="s">
        <v>219</v>
      </c>
      <c r="J133" s="4">
        <v>0.0249790627648</v>
      </c>
      <c r="K133" t="s">
        <v>24</v>
      </c>
      <c r="L133" t="s">
        <v>0</v>
      </c>
      <c r="M133">
        <v>240740</v>
      </c>
    </row>
    <row r="134" spans="1:13">
      <c r="A134" t="s">
        <v>70</v>
      </c>
      <c r="B134" s="1">
        <v>601150</v>
      </c>
      <c r="C134" t="str">
        <f t="shared" si="2"/>
        <v>С</v>
      </c>
      <c r="I134" t="s">
        <v>109</v>
      </c>
      <c r="J134" s="4">
        <v>0.0238538939948451</v>
      </c>
      <c r="K134" t="s">
        <v>24</v>
      </c>
      <c r="L134" t="s">
        <v>0</v>
      </c>
      <c r="M134">
        <v>144677</v>
      </c>
    </row>
    <row r="135" spans="1:13">
      <c r="A135" t="s">
        <v>223</v>
      </c>
      <c r="B135" s="1">
        <v>186400</v>
      </c>
      <c r="C135" t="str">
        <f t="shared" si="2"/>
        <v>С</v>
      </c>
      <c r="I135" t="s">
        <v>187</v>
      </c>
      <c r="J135" s="4">
        <v>0.0237317630871128</v>
      </c>
      <c r="K135" t="s">
        <v>24</v>
      </c>
      <c r="L135" t="s">
        <v>0</v>
      </c>
      <c r="M135">
        <v>179437</v>
      </c>
    </row>
    <row r="136" spans="1:13">
      <c r="A136" t="s">
        <v>157</v>
      </c>
      <c r="B136" s="1">
        <v>112700</v>
      </c>
      <c r="C136" t="str">
        <f t="shared" si="2"/>
        <v>С</v>
      </c>
      <c r="I136" t="s">
        <v>274</v>
      </c>
      <c r="J136" s="4">
        <v>0.0234837097842194</v>
      </c>
      <c r="K136" t="s">
        <v>24</v>
      </c>
      <c r="L136" t="s">
        <v>0</v>
      </c>
      <c r="M136">
        <v>150811</v>
      </c>
    </row>
    <row r="137" spans="1:13">
      <c r="A137" t="s">
        <v>162</v>
      </c>
      <c r="B137" s="1">
        <v>971492</v>
      </c>
      <c r="C137" t="str">
        <f t="shared" si="2"/>
        <v>С</v>
      </c>
      <c r="I137" t="s">
        <v>280</v>
      </c>
      <c r="J137" s="4">
        <v>0.023346039417724</v>
      </c>
      <c r="K137" t="s">
        <v>24</v>
      </c>
      <c r="L137" t="s">
        <v>0</v>
      </c>
      <c r="M137">
        <v>220321</v>
      </c>
    </row>
    <row r="138" spans="1:13">
      <c r="A138" t="s">
        <v>90</v>
      </c>
      <c r="B138" s="1">
        <v>320915</v>
      </c>
      <c r="C138" t="str">
        <f t="shared" si="2"/>
        <v>С</v>
      </c>
      <c r="I138" t="s">
        <v>133</v>
      </c>
      <c r="J138" s="4">
        <v>0.0230902770981908</v>
      </c>
      <c r="K138" t="s">
        <v>24</v>
      </c>
      <c r="L138" t="s">
        <v>0</v>
      </c>
      <c r="M138">
        <v>213519</v>
      </c>
    </row>
    <row r="139" spans="1:13">
      <c r="A139" t="s">
        <v>246</v>
      </c>
      <c r="B139" s="1">
        <v>214672</v>
      </c>
      <c r="C139" t="str">
        <f t="shared" si="2"/>
        <v>С</v>
      </c>
      <c r="I139" t="s">
        <v>182</v>
      </c>
      <c r="J139" s="4">
        <v>0.0227420143847893</v>
      </c>
      <c r="K139" t="s">
        <v>24</v>
      </c>
      <c r="L139" t="s">
        <v>0</v>
      </c>
      <c r="M139">
        <v>196857</v>
      </c>
    </row>
    <row r="140" spans="1:13">
      <c r="A140" t="s">
        <v>134</v>
      </c>
      <c r="B140" s="1">
        <v>198303</v>
      </c>
      <c r="C140" t="str">
        <f t="shared" si="2"/>
        <v>С</v>
      </c>
      <c r="I140" t="s">
        <v>79</v>
      </c>
      <c r="J140" s="4">
        <v>0.0227114174797563</v>
      </c>
      <c r="K140" t="s">
        <v>24</v>
      </c>
      <c r="L140" t="s">
        <v>0</v>
      </c>
      <c r="M140">
        <v>128759</v>
      </c>
    </row>
    <row r="141" spans="1:13">
      <c r="A141" t="s">
        <v>140</v>
      </c>
      <c r="B141" s="1">
        <v>290198</v>
      </c>
      <c r="C141" t="str">
        <f t="shared" si="2"/>
        <v>С</v>
      </c>
      <c r="I141" t="s">
        <v>114</v>
      </c>
      <c r="J141" s="4">
        <v>0.0216085320473822</v>
      </c>
      <c r="K141" t="s">
        <v>24</v>
      </c>
      <c r="L141" t="s">
        <v>0</v>
      </c>
      <c r="M141">
        <v>172116</v>
      </c>
    </row>
    <row r="142" spans="1:13">
      <c r="A142" t="s">
        <v>49</v>
      </c>
      <c r="B142" s="1">
        <v>112607</v>
      </c>
      <c r="C142" t="str">
        <f t="shared" si="2"/>
        <v>С</v>
      </c>
      <c r="I142" t="s">
        <v>271</v>
      </c>
      <c r="J142" s="4">
        <v>0.0211582750593849</v>
      </c>
      <c r="K142" t="s">
        <v>24</v>
      </c>
      <c r="L142" t="s">
        <v>0</v>
      </c>
      <c r="M142">
        <v>226006</v>
      </c>
    </row>
    <row r="143" spans="1:13">
      <c r="A143" t="s">
        <v>198</v>
      </c>
      <c r="B143" s="1">
        <v>122232</v>
      </c>
      <c r="C143" t="str">
        <f t="shared" si="2"/>
        <v>С</v>
      </c>
      <c r="I143" t="s">
        <v>181</v>
      </c>
      <c r="J143" s="4">
        <v>0.021091455395304</v>
      </c>
      <c r="K143" t="s">
        <v>24</v>
      </c>
      <c r="L143" t="s">
        <v>0</v>
      </c>
      <c r="M143">
        <v>153360</v>
      </c>
    </row>
    <row r="144" spans="1:13">
      <c r="A144" t="s">
        <v>229</v>
      </c>
      <c r="B144" s="1">
        <v>500808</v>
      </c>
      <c r="C144" t="str">
        <f t="shared" si="2"/>
        <v>С</v>
      </c>
      <c r="I144" t="s">
        <v>223</v>
      </c>
      <c r="J144" s="4">
        <v>0.0200832116511872</v>
      </c>
      <c r="K144" t="s">
        <v>24</v>
      </c>
      <c r="L144" t="s">
        <v>0</v>
      </c>
      <c r="M144">
        <v>186400</v>
      </c>
    </row>
    <row r="145" spans="1:13">
      <c r="A145" t="s">
        <v>170</v>
      </c>
      <c r="B145" s="1">
        <v>481374</v>
      </c>
      <c r="C145" t="str">
        <f t="shared" si="2"/>
        <v>С</v>
      </c>
      <c r="I145" t="s">
        <v>120</v>
      </c>
      <c r="J145" s="4">
        <v>0.020052803862954</v>
      </c>
      <c r="K145" t="s">
        <v>24</v>
      </c>
      <c r="L145" t="s">
        <v>0</v>
      </c>
      <c r="M145">
        <v>148841</v>
      </c>
    </row>
    <row r="146" spans="1:13">
      <c r="A146" t="s">
        <v>151</v>
      </c>
      <c r="B146" s="1">
        <v>126964</v>
      </c>
      <c r="C146" t="str">
        <f t="shared" si="2"/>
        <v>С</v>
      </c>
      <c r="I146" t="s">
        <v>256</v>
      </c>
      <c r="J146" s="4">
        <v>0.0199821896648774</v>
      </c>
      <c r="K146" t="s">
        <v>24</v>
      </c>
      <c r="L146" t="s">
        <v>0</v>
      </c>
      <c r="M146">
        <v>127768</v>
      </c>
    </row>
    <row r="147" spans="1:13">
      <c r="A147" t="s">
        <v>145</v>
      </c>
      <c r="B147" s="1">
        <v>499162</v>
      </c>
      <c r="C147" t="str">
        <f t="shared" si="2"/>
        <v>С</v>
      </c>
      <c r="I147" t="s">
        <v>278</v>
      </c>
      <c r="J147" s="4">
        <v>0.017667977492212</v>
      </c>
      <c r="K147" t="s">
        <v>24</v>
      </c>
      <c r="L147" t="s">
        <v>0</v>
      </c>
      <c r="M147">
        <v>152272</v>
      </c>
    </row>
    <row r="148" spans="1:13">
      <c r="A148" t="s">
        <v>155</v>
      </c>
      <c r="B148" s="1">
        <v>139083</v>
      </c>
      <c r="C148" t="str">
        <f t="shared" si="2"/>
        <v>С</v>
      </c>
      <c r="I148" t="s">
        <v>210</v>
      </c>
      <c r="J148" s="4">
        <v>0.0173073100245208</v>
      </c>
      <c r="K148" t="s">
        <v>24</v>
      </c>
      <c r="L148" t="s">
        <v>0</v>
      </c>
      <c r="M148">
        <v>147229</v>
      </c>
    </row>
    <row r="149" spans="1:13">
      <c r="A149" t="s">
        <v>182</v>
      </c>
      <c r="B149" s="1">
        <v>196857</v>
      </c>
      <c r="C149" t="str">
        <f t="shared" si="2"/>
        <v>С</v>
      </c>
      <c r="I149" t="s">
        <v>113</v>
      </c>
      <c r="J149" s="4">
        <v>0.0165602426262501</v>
      </c>
      <c r="K149" t="s">
        <v>24</v>
      </c>
      <c r="L149" t="s">
        <v>0</v>
      </c>
      <c r="M149">
        <v>153950</v>
      </c>
    </row>
    <row r="150" spans="1:13">
      <c r="A150" t="s">
        <v>276</v>
      </c>
      <c r="B150" s="1">
        <v>227133</v>
      </c>
      <c r="C150" t="str">
        <f t="shared" si="2"/>
        <v>С</v>
      </c>
      <c r="I150" t="s">
        <v>134</v>
      </c>
      <c r="J150" s="4">
        <v>0.0156161125981064</v>
      </c>
      <c r="K150" t="s">
        <v>24</v>
      </c>
      <c r="L150" t="s">
        <v>0</v>
      </c>
      <c r="M150">
        <v>198303</v>
      </c>
    </row>
    <row r="151" spans="1:13">
      <c r="A151" t="s">
        <v>253</v>
      </c>
      <c r="B151" s="1">
        <v>268971</v>
      </c>
      <c r="C151" t="str">
        <f t="shared" si="2"/>
        <v>С</v>
      </c>
      <c r="I151" t="s">
        <v>220</v>
      </c>
      <c r="J151" s="4">
        <v>0.0155865409380079</v>
      </c>
      <c r="K151" t="s">
        <v>24</v>
      </c>
      <c r="L151" t="s">
        <v>0</v>
      </c>
      <c r="M151">
        <v>136453</v>
      </c>
    </row>
    <row r="152" spans="1:13">
      <c r="A152" t="s">
        <v>228</v>
      </c>
      <c r="B152" s="1">
        <v>169887</v>
      </c>
      <c r="C152" t="str">
        <f t="shared" si="2"/>
        <v>С</v>
      </c>
      <c r="I152" t="s">
        <v>258</v>
      </c>
      <c r="J152" s="4">
        <v>0.203542825786552</v>
      </c>
      <c r="K152" t="s">
        <v>24</v>
      </c>
      <c r="L152" t="s">
        <v>305</v>
      </c>
      <c r="M152">
        <v>171079</v>
      </c>
    </row>
    <row r="153" spans="1:13">
      <c r="A153" t="s">
        <v>166</v>
      </c>
      <c r="B153" s="1">
        <v>124427</v>
      </c>
      <c r="C153" t="str">
        <f t="shared" si="2"/>
        <v>С</v>
      </c>
      <c r="I153" t="s">
        <v>244</v>
      </c>
      <c r="J153" s="4">
        <v>0.197466261339454</v>
      </c>
      <c r="K153" t="s">
        <v>24</v>
      </c>
      <c r="L153" t="s">
        <v>305</v>
      </c>
      <c r="M153">
        <v>179727</v>
      </c>
    </row>
    <row r="154" spans="1:13">
      <c r="A154" t="s">
        <v>210</v>
      </c>
      <c r="B154" s="1">
        <v>147229</v>
      </c>
      <c r="C154" t="str">
        <f t="shared" si="2"/>
        <v>С</v>
      </c>
      <c r="I154" t="s">
        <v>153</v>
      </c>
      <c r="J154" s="4">
        <v>0.185376610724731</v>
      </c>
      <c r="K154" t="s">
        <v>24</v>
      </c>
      <c r="L154" t="s">
        <v>305</v>
      </c>
      <c r="M154">
        <v>201088</v>
      </c>
    </row>
    <row r="155" spans="1:13">
      <c r="A155" t="s">
        <v>57</v>
      </c>
      <c r="B155" s="1">
        <v>865280</v>
      </c>
      <c r="C155" t="str">
        <f t="shared" si="2"/>
        <v>С</v>
      </c>
      <c r="I155" t="s">
        <v>76</v>
      </c>
      <c r="J155" s="4">
        <v>0.182986148784958</v>
      </c>
      <c r="K155" t="s">
        <v>24</v>
      </c>
      <c r="L155" t="s">
        <v>305</v>
      </c>
      <c r="M155">
        <v>164390</v>
      </c>
    </row>
    <row r="156" spans="1:13">
      <c r="A156" t="s">
        <v>58</v>
      </c>
      <c r="B156" s="1">
        <v>1143265</v>
      </c>
      <c r="C156" t="str">
        <f t="shared" si="2"/>
        <v>С</v>
      </c>
      <c r="I156" t="s">
        <v>263</v>
      </c>
      <c r="J156" s="4">
        <v>0.168864166460283</v>
      </c>
      <c r="K156" t="s">
        <v>24</v>
      </c>
      <c r="L156" t="s">
        <v>305</v>
      </c>
      <c r="M156">
        <v>140398</v>
      </c>
    </row>
    <row r="157" spans="1:13">
      <c r="A157" t="s">
        <v>202</v>
      </c>
      <c r="B157" s="1">
        <v>143828</v>
      </c>
      <c r="C157" t="str">
        <f t="shared" si="2"/>
        <v>С</v>
      </c>
      <c r="I157" t="s">
        <v>132</v>
      </c>
      <c r="J157" s="4">
        <v>0.166339124478391</v>
      </c>
      <c r="K157" t="s">
        <v>24</v>
      </c>
      <c r="L157" t="s">
        <v>305</v>
      </c>
      <c r="M157">
        <v>169476</v>
      </c>
    </row>
    <row r="158" spans="1:13">
      <c r="A158" t="s">
        <v>113</v>
      </c>
      <c r="B158" s="1">
        <v>153950</v>
      </c>
      <c r="C158" t="str">
        <f t="shared" si="2"/>
        <v>С</v>
      </c>
      <c r="I158" t="s">
        <v>152</v>
      </c>
      <c r="J158" s="4">
        <v>0.163233036879996</v>
      </c>
      <c r="K158" t="s">
        <v>24</v>
      </c>
      <c r="L158" t="s">
        <v>305</v>
      </c>
      <c r="M158">
        <v>133086</v>
      </c>
    </row>
    <row r="159" spans="1:13">
      <c r="A159" t="s">
        <v>172</v>
      </c>
      <c r="B159" s="1">
        <v>869530</v>
      </c>
      <c r="C159" t="str">
        <f t="shared" si="2"/>
        <v>С</v>
      </c>
      <c r="I159" t="s">
        <v>175</v>
      </c>
      <c r="J159" s="4">
        <v>0.160666217792261</v>
      </c>
      <c r="K159" t="s">
        <v>24</v>
      </c>
      <c r="L159" t="s">
        <v>305</v>
      </c>
      <c r="M159">
        <v>133734</v>
      </c>
    </row>
    <row r="160" spans="1:13">
      <c r="A160" t="s">
        <v>261</v>
      </c>
      <c r="B160" s="1">
        <v>100764</v>
      </c>
      <c r="C160" t="str">
        <f t="shared" si="2"/>
        <v>С</v>
      </c>
      <c r="I160" t="s">
        <v>234</v>
      </c>
      <c r="J160" s="4">
        <v>0.160006299124637</v>
      </c>
      <c r="K160" t="s">
        <v>24</v>
      </c>
      <c r="L160" t="s">
        <v>305</v>
      </c>
      <c r="M160">
        <v>219851</v>
      </c>
    </row>
    <row r="161" spans="1:13">
      <c r="A161" t="s">
        <v>183</v>
      </c>
      <c r="B161" s="1">
        <v>147580</v>
      </c>
      <c r="C161" t="str">
        <f t="shared" si="2"/>
        <v>С</v>
      </c>
      <c r="I161" t="s">
        <v>225</v>
      </c>
      <c r="J161" s="4">
        <v>0.158943520556874</v>
      </c>
      <c r="K161" t="s">
        <v>24</v>
      </c>
      <c r="L161" t="s">
        <v>305</v>
      </c>
      <c r="M161">
        <v>130118</v>
      </c>
    </row>
    <row r="162" spans="1:13">
      <c r="A162" t="s">
        <v>139</v>
      </c>
      <c r="B162" s="1">
        <v>594276</v>
      </c>
      <c r="C162" t="str">
        <f t="shared" si="2"/>
        <v>С</v>
      </c>
      <c r="I162" t="s">
        <v>267</v>
      </c>
      <c r="J162" s="4">
        <v>0.157546572643203</v>
      </c>
      <c r="K162" t="s">
        <v>24</v>
      </c>
      <c r="L162" t="s">
        <v>305</v>
      </c>
      <c r="M162">
        <v>155591</v>
      </c>
    </row>
    <row r="163" spans="1:13">
      <c r="A163" t="s">
        <v>185</v>
      </c>
      <c r="B163" s="1">
        <v>125309</v>
      </c>
      <c r="C163" t="str">
        <f t="shared" si="2"/>
        <v>С</v>
      </c>
      <c r="I163" t="s">
        <v>245</v>
      </c>
      <c r="J163" s="4">
        <v>0.151476188604218</v>
      </c>
      <c r="K163" t="s">
        <v>24</v>
      </c>
      <c r="L163" t="s">
        <v>305</v>
      </c>
      <c r="M163">
        <v>146268</v>
      </c>
    </row>
    <row r="164" spans="1:13">
      <c r="A164" t="s">
        <v>254</v>
      </c>
      <c r="B164" s="1">
        <v>269035</v>
      </c>
      <c r="C164" t="str">
        <f t="shared" si="2"/>
        <v>С</v>
      </c>
      <c r="I164" t="s">
        <v>143</v>
      </c>
      <c r="J164" s="4">
        <v>0.15123129638971</v>
      </c>
      <c r="K164" t="s">
        <v>24</v>
      </c>
      <c r="L164" t="s">
        <v>305</v>
      </c>
      <c r="M164">
        <v>217871</v>
      </c>
    </row>
    <row r="165" spans="1:13">
      <c r="A165" t="s">
        <v>135</v>
      </c>
      <c r="B165" s="1">
        <v>292362</v>
      </c>
      <c r="C165" t="str">
        <f t="shared" si="2"/>
        <v>С</v>
      </c>
      <c r="I165" t="s">
        <v>100</v>
      </c>
      <c r="J165" s="4">
        <v>0.150774465839301</v>
      </c>
      <c r="K165" t="s">
        <v>24</v>
      </c>
      <c r="L165" t="s">
        <v>305</v>
      </c>
      <c r="M165">
        <v>141711</v>
      </c>
    </row>
    <row r="166" spans="1:13">
      <c r="A166" t="s">
        <v>218</v>
      </c>
      <c r="B166" s="1">
        <v>149244</v>
      </c>
      <c r="C166" t="str">
        <f t="shared" si="2"/>
        <v>С</v>
      </c>
      <c r="I166" t="s">
        <v>248</v>
      </c>
      <c r="J166" s="4">
        <v>0.137456330614976</v>
      </c>
      <c r="K166" t="s">
        <v>24</v>
      </c>
      <c r="L166" t="s">
        <v>305</v>
      </c>
      <c r="M166">
        <v>229246</v>
      </c>
    </row>
    <row r="167" spans="1:13">
      <c r="A167" t="s">
        <v>161</v>
      </c>
      <c r="B167" s="1">
        <v>532780</v>
      </c>
      <c r="C167" t="str">
        <f t="shared" si="2"/>
        <v>С</v>
      </c>
      <c r="I167" t="s">
        <v>203</v>
      </c>
      <c r="J167" s="4">
        <v>0.133499605148167</v>
      </c>
      <c r="K167" t="s">
        <v>24</v>
      </c>
      <c r="L167" t="s">
        <v>305</v>
      </c>
      <c r="M167">
        <v>144543</v>
      </c>
    </row>
    <row r="168" spans="1:13">
      <c r="A168" t="s">
        <v>125</v>
      </c>
      <c r="B168" s="1">
        <v>278387</v>
      </c>
      <c r="C168" t="str">
        <f t="shared" si="2"/>
        <v>С</v>
      </c>
      <c r="I168" t="s">
        <v>221</v>
      </c>
      <c r="J168" s="4">
        <v>0.124737510385363</v>
      </c>
      <c r="K168" t="s">
        <v>24</v>
      </c>
      <c r="L168" t="s">
        <v>305</v>
      </c>
      <c r="M168">
        <v>169219</v>
      </c>
    </row>
    <row r="169" spans="1:13">
      <c r="A169" t="s">
        <v>237</v>
      </c>
      <c r="B169" s="1">
        <v>372462</v>
      </c>
      <c r="C169" t="str">
        <f t="shared" si="2"/>
        <v>С</v>
      </c>
      <c r="I169" t="s">
        <v>211</v>
      </c>
      <c r="J169" s="4">
        <v>0.120004611465283</v>
      </c>
      <c r="K169" t="s">
        <v>24</v>
      </c>
      <c r="L169" t="s">
        <v>305</v>
      </c>
      <c r="M169">
        <v>150247</v>
      </c>
    </row>
    <row r="170" spans="1:13">
      <c r="A170" t="s">
        <v>109</v>
      </c>
      <c r="B170" s="1">
        <v>144677</v>
      </c>
      <c r="C170" t="str">
        <f t="shared" si="2"/>
        <v>С</v>
      </c>
      <c r="I170" t="s">
        <v>279</v>
      </c>
      <c r="J170" s="4">
        <v>0.114202348774298</v>
      </c>
      <c r="K170" t="s">
        <v>24</v>
      </c>
      <c r="L170" t="s">
        <v>305</v>
      </c>
      <c r="M170">
        <v>154122</v>
      </c>
    </row>
    <row r="171" spans="1:13">
      <c r="A171" t="s">
        <v>53</v>
      </c>
      <c r="B171" s="1">
        <v>642309</v>
      </c>
      <c r="C171" t="str">
        <f t="shared" si="2"/>
        <v>С</v>
      </c>
      <c r="I171" t="s">
        <v>235</v>
      </c>
      <c r="J171" s="4">
        <v>0.11110311599827</v>
      </c>
      <c r="K171" t="s">
        <v>24</v>
      </c>
      <c r="L171" t="s">
        <v>305</v>
      </c>
      <c r="M171">
        <v>147549</v>
      </c>
    </row>
    <row r="172" spans="1:13">
      <c r="A172" t="s">
        <v>130</v>
      </c>
      <c r="B172" s="1">
        <v>493543</v>
      </c>
      <c r="C172" t="str">
        <f t="shared" si="2"/>
        <v>С</v>
      </c>
      <c r="I172" t="s">
        <v>218</v>
      </c>
      <c r="J172" s="4">
        <v>0.110843188325614</v>
      </c>
      <c r="K172" t="s">
        <v>24</v>
      </c>
      <c r="L172" t="s">
        <v>305</v>
      </c>
      <c r="M172">
        <v>149244</v>
      </c>
    </row>
    <row r="173" spans="1:13">
      <c r="A173" t="s">
        <v>275</v>
      </c>
      <c r="B173" s="1">
        <v>221855</v>
      </c>
      <c r="C173" t="str">
        <f t="shared" si="2"/>
        <v>С</v>
      </c>
      <c r="I173" t="s">
        <v>246</v>
      </c>
      <c r="J173" s="4">
        <v>0.865195163717783</v>
      </c>
      <c r="K173" t="s">
        <v>24</v>
      </c>
      <c r="L173" t="s">
        <v>300</v>
      </c>
      <c r="M173">
        <v>214672</v>
      </c>
    </row>
    <row r="174" spans="1:13">
      <c r="A174" t="s">
        <v>273</v>
      </c>
      <c r="B174" s="1">
        <v>127084</v>
      </c>
      <c r="C174" t="str">
        <f t="shared" si="2"/>
        <v>С</v>
      </c>
      <c r="I174" t="s">
        <v>147</v>
      </c>
      <c r="J174" s="4">
        <v>0.828800720859456</v>
      </c>
      <c r="K174" t="s">
        <v>24</v>
      </c>
      <c r="L174" t="s">
        <v>300</v>
      </c>
      <c r="M174">
        <v>135649</v>
      </c>
    </row>
    <row r="175" spans="1:13">
      <c r="A175" t="s">
        <v>238</v>
      </c>
      <c r="B175" s="1">
        <v>268266</v>
      </c>
      <c r="C175" t="str">
        <f t="shared" si="2"/>
        <v>С</v>
      </c>
      <c r="I175" t="s">
        <v>177</v>
      </c>
      <c r="J175" s="4">
        <v>0.823461942860699</v>
      </c>
      <c r="K175" t="s">
        <v>24</v>
      </c>
      <c r="L175" t="s">
        <v>300</v>
      </c>
      <c r="M175">
        <v>130960</v>
      </c>
    </row>
    <row r="176" spans="1:13">
      <c r="A176" t="s">
        <v>141</v>
      </c>
      <c r="B176" s="1">
        <v>115568</v>
      </c>
      <c r="C176" t="str">
        <f t="shared" si="2"/>
        <v>С</v>
      </c>
      <c r="I176" t="s">
        <v>183</v>
      </c>
      <c r="J176" s="4">
        <v>0.813012416197361</v>
      </c>
      <c r="K176" t="s">
        <v>24</v>
      </c>
      <c r="L176" t="s">
        <v>300</v>
      </c>
      <c r="M176">
        <v>147580</v>
      </c>
    </row>
    <row r="177" spans="1:13">
      <c r="A177" t="s">
        <v>163</v>
      </c>
      <c r="B177" s="1">
        <v>337284</v>
      </c>
      <c r="C177" t="str">
        <f t="shared" si="2"/>
        <v>С</v>
      </c>
      <c r="I177" t="s">
        <v>240</v>
      </c>
      <c r="J177" s="4">
        <v>0.782355558918805</v>
      </c>
      <c r="K177" t="s">
        <v>24</v>
      </c>
      <c r="L177" t="s">
        <v>300</v>
      </c>
      <c r="M177">
        <v>196590</v>
      </c>
    </row>
    <row r="178" spans="1:13">
      <c r="A178" t="s">
        <v>164</v>
      </c>
      <c r="B178" s="1">
        <v>319824</v>
      </c>
      <c r="C178" t="str">
        <f t="shared" si="2"/>
        <v>С</v>
      </c>
      <c r="I178" t="s">
        <v>52</v>
      </c>
      <c r="J178" s="4">
        <v>0.767191411059926</v>
      </c>
      <c r="K178" t="s">
        <v>24</v>
      </c>
      <c r="L178" t="s">
        <v>300</v>
      </c>
      <c r="M178">
        <v>126012</v>
      </c>
    </row>
    <row r="179" spans="1:13">
      <c r="A179" t="s">
        <v>121</v>
      </c>
      <c r="B179" s="1">
        <v>113483</v>
      </c>
      <c r="C179" t="str">
        <f t="shared" si="2"/>
        <v>С</v>
      </c>
      <c r="I179" t="s">
        <v>232</v>
      </c>
      <c r="J179" s="4">
        <v>0.730878893694709</v>
      </c>
      <c r="K179" t="s">
        <v>24</v>
      </c>
      <c r="L179" t="s">
        <v>300</v>
      </c>
      <c r="M179">
        <v>140081</v>
      </c>
    </row>
    <row r="180" spans="1:13">
      <c r="A180" t="s">
        <v>220</v>
      </c>
      <c r="B180" s="1">
        <v>136453</v>
      </c>
      <c r="C180" t="str">
        <f t="shared" si="2"/>
        <v>С</v>
      </c>
      <c r="I180" t="s">
        <v>270</v>
      </c>
      <c r="J180" s="4">
        <v>0.714268751343951</v>
      </c>
      <c r="K180" t="s">
        <v>24</v>
      </c>
      <c r="L180" t="s">
        <v>300</v>
      </c>
      <c r="M180">
        <v>138758</v>
      </c>
    </row>
    <row r="181" spans="1:13">
      <c r="A181" t="s">
        <v>222</v>
      </c>
      <c r="B181" s="1">
        <v>89233</v>
      </c>
      <c r="C181" t="str">
        <f t="shared" si="2"/>
        <v>С</v>
      </c>
      <c r="I181" t="s">
        <v>195</v>
      </c>
      <c r="J181" s="4">
        <v>0.713088937408395</v>
      </c>
      <c r="K181" t="s">
        <v>24</v>
      </c>
      <c r="L181" t="s">
        <v>300</v>
      </c>
      <c r="M181">
        <v>131258</v>
      </c>
    </row>
    <row r="182" spans="1:13">
      <c r="A182" t="s">
        <v>101</v>
      </c>
      <c r="B182" s="1">
        <v>145473</v>
      </c>
      <c r="C182" t="str">
        <f t="shared" si="2"/>
        <v>С</v>
      </c>
      <c r="I182" t="s">
        <v>99</v>
      </c>
      <c r="J182" s="4">
        <v>0.686699489138448</v>
      </c>
      <c r="K182" t="s">
        <v>24</v>
      </c>
      <c r="L182" t="s">
        <v>300</v>
      </c>
      <c r="M182">
        <v>158988</v>
      </c>
    </row>
    <row r="183" spans="1:13">
      <c r="A183" t="s">
        <v>278</v>
      </c>
      <c r="B183" s="1">
        <v>152272</v>
      </c>
      <c r="C183" t="str">
        <f t="shared" si="2"/>
        <v>С</v>
      </c>
      <c r="I183" t="s">
        <v>112</v>
      </c>
      <c r="J183" s="4">
        <v>0.683217038785175</v>
      </c>
      <c r="K183" t="s">
        <v>24</v>
      </c>
      <c r="L183" t="s">
        <v>300</v>
      </c>
      <c r="M183">
        <v>154945</v>
      </c>
    </row>
    <row r="184" spans="1:13">
      <c r="A184" t="s">
        <v>118</v>
      </c>
      <c r="B184" s="1">
        <v>815530</v>
      </c>
      <c r="C184" t="str">
        <f t="shared" si="2"/>
        <v>С</v>
      </c>
      <c r="I184" t="s">
        <v>78</v>
      </c>
      <c r="J184" s="4">
        <v>0.675051487312309</v>
      </c>
      <c r="K184" t="s">
        <v>24</v>
      </c>
      <c r="L184" t="s">
        <v>300</v>
      </c>
      <c r="M184">
        <v>206445</v>
      </c>
    </row>
    <row r="185" spans="1:13">
      <c r="A185" t="s">
        <v>208</v>
      </c>
      <c r="B185" s="1">
        <v>1160562</v>
      </c>
      <c r="C185" t="str">
        <f t="shared" si="2"/>
        <v>С</v>
      </c>
      <c r="I185" t="s">
        <v>50</v>
      </c>
      <c r="J185" s="4">
        <v>0.673526147559204</v>
      </c>
      <c r="K185" t="s">
        <v>24</v>
      </c>
      <c r="L185" t="s">
        <v>300</v>
      </c>
      <c r="M185">
        <v>139705</v>
      </c>
    </row>
    <row r="186" spans="1:13">
      <c r="A186" t="s">
        <v>184</v>
      </c>
      <c r="B186" s="1">
        <v>256885</v>
      </c>
      <c r="C186" t="str">
        <f t="shared" si="2"/>
        <v>С</v>
      </c>
      <c r="I186" t="s">
        <v>257</v>
      </c>
      <c r="J186" s="4">
        <v>0.617037902692183</v>
      </c>
      <c r="K186" t="s">
        <v>24</v>
      </c>
      <c r="L186" t="s">
        <v>300</v>
      </c>
      <c r="M186">
        <v>140730</v>
      </c>
    </row>
    <row r="187" spans="1:13">
      <c r="A187" t="s">
        <v>196</v>
      </c>
      <c r="B187" s="1">
        <v>114147</v>
      </c>
      <c r="C187" t="str">
        <f t="shared" si="2"/>
        <v>С</v>
      </c>
      <c r="I187" t="s">
        <v>63</v>
      </c>
      <c r="J187" s="4">
        <v>0.603378398241588</v>
      </c>
      <c r="K187" t="s">
        <v>24</v>
      </c>
      <c r="L187" t="s">
        <v>300</v>
      </c>
      <c r="M187">
        <v>195911</v>
      </c>
    </row>
    <row r="188" spans="1:13">
      <c r="A188" t="s">
        <v>258</v>
      </c>
      <c r="B188" s="1">
        <v>171079</v>
      </c>
      <c r="C188" t="str">
        <f t="shared" si="2"/>
        <v>С</v>
      </c>
      <c r="I188" t="s">
        <v>273</v>
      </c>
      <c r="J188" s="4">
        <v>0.603125130749955</v>
      </c>
      <c r="K188" t="s">
        <v>24</v>
      </c>
      <c r="L188" t="s">
        <v>300</v>
      </c>
      <c r="M188">
        <v>127084</v>
      </c>
    </row>
    <row r="189" spans="1:13">
      <c r="A189" t="s">
        <v>262</v>
      </c>
      <c r="B189" s="1">
        <v>184718</v>
      </c>
      <c r="C189" t="str">
        <f t="shared" si="2"/>
        <v>С</v>
      </c>
      <c r="I189" t="s">
        <v>62</v>
      </c>
      <c r="J189" s="4">
        <v>0.564074101583661</v>
      </c>
      <c r="K189" t="s">
        <v>24</v>
      </c>
      <c r="L189" t="s">
        <v>300</v>
      </c>
      <c r="M189">
        <v>231253</v>
      </c>
    </row>
    <row r="190" spans="1:13">
      <c r="A190" t="s">
        <v>124</v>
      </c>
      <c r="B190" s="1">
        <v>142165</v>
      </c>
      <c r="C190" t="str">
        <f t="shared" si="2"/>
        <v>С</v>
      </c>
      <c r="I190" t="s">
        <v>61</v>
      </c>
      <c r="J190" s="4">
        <v>0.548505232603963</v>
      </c>
      <c r="K190" t="s">
        <v>24</v>
      </c>
      <c r="L190" t="s">
        <v>300</v>
      </c>
      <c r="M190">
        <v>175720</v>
      </c>
    </row>
    <row r="191" spans="1:13">
      <c r="A191" t="s">
        <v>127</v>
      </c>
      <c r="B191" s="1">
        <v>623612</v>
      </c>
      <c r="C191" t="str">
        <f t="shared" si="2"/>
        <v>С</v>
      </c>
      <c r="I191" t="s">
        <v>180</v>
      </c>
      <c r="J191" s="4">
        <v>0.53493755936202</v>
      </c>
      <c r="K191" t="s">
        <v>24</v>
      </c>
      <c r="L191" t="s">
        <v>300</v>
      </c>
      <c r="M191">
        <v>198902</v>
      </c>
    </row>
    <row r="192" spans="1:13">
      <c r="A192" t="s">
        <v>263</v>
      </c>
      <c r="B192" s="1">
        <v>140398</v>
      </c>
      <c r="C192" t="str">
        <f t="shared" si="2"/>
        <v>С</v>
      </c>
      <c r="I192" t="s">
        <v>74</v>
      </c>
      <c r="J192" s="4">
        <v>0.508195181303728</v>
      </c>
      <c r="K192" t="s">
        <v>24</v>
      </c>
      <c r="L192" t="s">
        <v>300</v>
      </c>
      <c r="M192">
        <v>126357</v>
      </c>
    </row>
    <row r="193" spans="1:13">
      <c r="A193" t="s">
        <v>204</v>
      </c>
      <c r="B193" s="1">
        <v>240269</v>
      </c>
      <c r="C193" t="str">
        <f t="shared" si="2"/>
        <v>С</v>
      </c>
      <c r="I193" t="s">
        <v>124</v>
      </c>
      <c r="J193" s="4">
        <v>0.502408222186316</v>
      </c>
      <c r="K193" t="s">
        <v>24</v>
      </c>
      <c r="L193" t="s">
        <v>300</v>
      </c>
      <c r="M193">
        <v>142165</v>
      </c>
    </row>
    <row r="194" spans="1:13">
      <c r="A194" t="s">
        <v>230</v>
      </c>
      <c r="B194" s="1">
        <v>643912</v>
      </c>
      <c r="C194" t="str">
        <f t="shared" si="2"/>
        <v>С</v>
      </c>
      <c r="I194" t="s">
        <v>204</v>
      </c>
      <c r="J194" s="4">
        <v>0.486777681271133</v>
      </c>
      <c r="K194" t="s">
        <v>24</v>
      </c>
      <c r="L194" t="s">
        <v>300</v>
      </c>
      <c r="M194">
        <v>240269</v>
      </c>
    </row>
    <row r="195" spans="1:13">
      <c r="A195" t="s">
        <v>225</v>
      </c>
      <c r="B195" s="1">
        <v>130118</v>
      </c>
      <c r="C195" t="str">
        <f t="shared" si="2"/>
        <v>С</v>
      </c>
      <c r="I195" t="s">
        <v>202</v>
      </c>
      <c r="J195" s="4">
        <v>0.47731286076132</v>
      </c>
      <c r="K195" t="s">
        <v>24</v>
      </c>
      <c r="L195" t="s">
        <v>300</v>
      </c>
      <c r="M195">
        <v>143828</v>
      </c>
    </row>
    <row r="196" spans="1:13">
      <c r="A196" t="s">
        <v>245</v>
      </c>
      <c r="B196" s="1">
        <v>146268</v>
      </c>
      <c r="C196" t="str">
        <f t="shared" si="2"/>
        <v>С</v>
      </c>
      <c r="I196" t="s">
        <v>101</v>
      </c>
      <c r="J196" s="4">
        <v>0.471164838168397</v>
      </c>
      <c r="K196" t="s">
        <v>24</v>
      </c>
      <c r="L196" t="s">
        <v>300</v>
      </c>
      <c r="M196">
        <v>145473</v>
      </c>
    </row>
    <row r="197" spans="1:13">
      <c r="A197" t="s">
        <v>129</v>
      </c>
      <c r="B197" s="1">
        <v>909346</v>
      </c>
      <c r="C197" t="str">
        <f t="shared" ref="C197:C240" si="3">VLOOKUP(B197,$O$10:$P$12,2,1)</f>
        <v>С</v>
      </c>
      <c r="I197" t="s">
        <v>275</v>
      </c>
      <c r="J197" s="4">
        <v>0.437582732574506</v>
      </c>
      <c r="K197" t="s">
        <v>24</v>
      </c>
      <c r="L197" t="s">
        <v>300</v>
      </c>
      <c r="M197">
        <v>221855</v>
      </c>
    </row>
    <row r="198" spans="1:13">
      <c r="A198" t="s">
        <v>116</v>
      </c>
      <c r="B198" s="1">
        <v>571117</v>
      </c>
      <c r="C198" t="str">
        <f t="shared" si="3"/>
        <v>С</v>
      </c>
      <c r="I198" t="s">
        <v>276</v>
      </c>
      <c r="J198" s="4">
        <v>0.350337541858217</v>
      </c>
      <c r="K198" t="s">
        <v>24</v>
      </c>
      <c r="L198" t="s">
        <v>300</v>
      </c>
      <c r="M198">
        <v>227133</v>
      </c>
    </row>
    <row r="199" spans="1:13">
      <c r="A199" t="s">
        <v>266</v>
      </c>
      <c r="B199" s="1">
        <v>88566</v>
      </c>
      <c r="C199" t="str">
        <f t="shared" si="3"/>
        <v>С</v>
      </c>
      <c r="I199" t="s">
        <v>149</v>
      </c>
      <c r="J199" s="4">
        <v>0.030238706646331</v>
      </c>
      <c r="K199" t="s">
        <v>30</v>
      </c>
      <c r="L199" t="s">
        <v>0</v>
      </c>
      <c r="M199">
        <v>108462</v>
      </c>
    </row>
    <row r="200" spans="1:13">
      <c r="A200" t="s">
        <v>173</v>
      </c>
      <c r="B200" s="1">
        <v>770018</v>
      </c>
      <c r="C200" t="str">
        <f t="shared" si="3"/>
        <v>С</v>
      </c>
      <c r="I200" t="s">
        <v>193</v>
      </c>
      <c r="J200" s="4">
        <v>0.0294556988831766</v>
      </c>
      <c r="K200" t="s">
        <v>30</v>
      </c>
      <c r="L200" t="s">
        <v>0</v>
      </c>
      <c r="M200">
        <v>106845</v>
      </c>
    </row>
    <row r="201" spans="1:13">
      <c r="A201" t="s">
        <v>131</v>
      </c>
      <c r="B201" s="1">
        <v>360846</v>
      </c>
      <c r="C201" t="str">
        <f t="shared" si="3"/>
        <v>С</v>
      </c>
      <c r="I201" t="s">
        <v>247</v>
      </c>
      <c r="J201" s="4">
        <v>0.028003884655413</v>
      </c>
      <c r="K201" t="s">
        <v>30</v>
      </c>
      <c r="L201" t="s">
        <v>0</v>
      </c>
      <c r="M201">
        <v>119512</v>
      </c>
    </row>
    <row r="202" spans="1:13">
      <c r="A202" t="s">
        <v>78</v>
      </c>
      <c r="B202" s="1">
        <v>206445</v>
      </c>
      <c r="C202" t="str">
        <f t="shared" si="3"/>
        <v>С</v>
      </c>
      <c r="I202" t="s">
        <v>166</v>
      </c>
      <c r="J202" s="4">
        <v>0.027513935475893</v>
      </c>
      <c r="K202" t="s">
        <v>30</v>
      </c>
      <c r="L202" t="s">
        <v>0</v>
      </c>
      <c r="M202">
        <v>124427</v>
      </c>
    </row>
    <row r="203" spans="1:13">
      <c r="A203" t="s">
        <v>114</v>
      </c>
      <c r="B203" s="1">
        <v>172116</v>
      </c>
      <c r="C203" t="str">
        <f t="shared" si="3"/>
        <v>С</v>
      </c>
      <c r="I203" t="s">
        <v>179</v>
      </c>
      <c r="J203" s="4">
        <v>0.0268949223873527</v>
      </c>
      <c r="K203" t="s">
        <v>30</v>
      </c>
      <c r="L203" t="s">
        <v>0</v>
      </c>
      <c r="M203">
        <v>121847</v>
      </c>
    </row>
    <row r="204" spans="1:13">
      <c r="A204" t="s">
        <v>119</v>
      </c>
      <c r="B204" s="1">
        <v>318996</v>
      </c>
      <c r="C204" t="str">
        <f t="shared" si="3"/>
        <v>С</v>
      </c>
      <c r="I204" t="s">
        <v>142</v>
      </c>
      <c r="J204" s="4">
        <v>0.0243113308191365</v>
      </c>
      <c r="K204" t="s">
        <v>30</v>
      </c>
      <c r="L204" t="s">
        <v>0</v>
      </c>
      <c r="M204">
        <v>113907</v>
      </c>
    </row>
    <row r="205" spans="1:13">
      <c r="A205" t="s">
        <v>247</v>
      </c>
      <c r="B205" s="1">
        <v>119512</v>
      </c>
      <c r="C205" t="str">
        <f t="shared" si="3"/>
        <v>С</v>
      </c>
      <c r="I205" t="s">
        <v>157</v>
      </c>
      <c r="J205" s="4">
        <v>0.024265137254621</v>
      </c>
      <c r="K205" t="s">
        <v>30</v>
      </c>
      <c r="L205" t="s">
        <v>0</v>
      </c>
      <c r="M205">
        <v>112700</v>
      </c>
    </row>
    <row r="206" spans="1:13">
      <c r="A206" t="s">
        <v>221</v>
      </c>
      <c r="B206" s="1">
        <v>169219</v>
      </c>
      <c r="C206" t="str">
        <f t="shared" si="3"/>
        <v>С</v>
      </c>
      <c r="I206" t="s">
        <v>186</v>
      </c>
      <c r="J206" s="4">
        <v>0.0242188856964415</v>
      </c>
      <c r="K206" t="s">
        <v>30</v>
      </c>
      <c r="L206" t="s">
        <v>0</v>
      </c>
      <c r="M206">
        <v>115835</v>
      </c>
    </row>
    <row r="207" spans="1:13">
      <c r="A207" t="s">
        <v>159</v>
      </c>
      <c r="B207" s="1">
        <v>1433463</v>
      </c>
      <c r="C207" t="str">
        <f t="shared" si="3"/>
        <v>С</v>
      </c>
      <c r="I207" t="s">
        <v>123</v>
      </c>
      <c r="J207" s="4">
        <v>0.0239950670060417</v>
      </c>
      <c r="K207" t="s">
        <v>30</v>
      </c>
      <c r="L207" t="s">
        <v>0</v>
      </c>
      <c r="M207">
        <v>114958</v>
      </c>
    </row>
    <row r="208" spans="1:13">
      <c r="A208" t="s">
        <v>104</v>
      </c>
      <c r="B208" s="1">
        <v>999852</v>
      </c>
      <c r="C208" t="str">
        <f t="shared" si="3"/>
        <v>С</v>
      </c>
      <c r="I208" t="s">
        <v>216</v>
      </c>
      <c r="J208" s="4">
        <v>0.0239103660437509</v>
      </c>
      <c r="K208" t="s">
        <v>30</v>
      </c>
      <c r="L208" t="s">
        <v>0</v>
      </c>
      <c r="M208">
        <v>121272</v>
      </c>
    </row>
    <row r="209" spans="1:13">
      <c r="A209" t="s">
        <v>264</v>
      </c>
      <c r="B209" s="1">
        <v>208109</v>
      </c>
      <c r="C209" t="str">
        <f t="shared" si="3"/>
        <v>С</v>
      </c>
      <c r="I209" t="s">
        <v>236</v>
      </c>
      <c r="J209" s="4">
        <v>0.0234225776881524</v>
      </c>
      <c r="K209" t="s">
        <v>30</v>
      </c>
      <c r="L209" t="s">
        <v>0</v>
      </c>
      <c r="M209">
        <v>112514</v>
      </c>
    </row>
    <row r="210" spans="1:13">
      <c r="A210" t="s">
        <v>122</v>
      </c>
      <c r="B210" s="1">
        <v>109356</v>
      </c>
      <c r="C210" t="str">
        <f t="shared" si="3"/>
        <v>С</v>
      </c>
      <c r="I210" t="s">
        <v>156</v>
      </c>
      <c r="J210" s="4">
        <v>0.023327039203793</v>
      </c>
      <c r="K210" t="s">
        <v>30</v>
      </c>
      <c r="L210" t="s">
        <v>0</v>
      </c>
      <c r="M210">
        <v>114680</v>
      </c>
    </row>
    <row r="211" spans="1:13">
      <c r="A211" t="s">
        <v>191</v>
      </c>
      <c r="B211" s="1">
        <v>468491</v>
      </c>
      <c r="C211" t="str">
        <f t="shared" si="3"/>
        <v>С</v>
      </c>
      <c r="I211" t="s">
        <v>176</v>
      </c>
      <c r="J211" s="4">
        <v>0.0232570077391828</v>
      </c>
      <c r="K211" t="s">
        <v>30</v>
      </c>
      <c r="L211" t="s">
        <v>0</v>
      </c>
      <c r="M211">
        <v>106775</v>
      </c>
    </row>
    <row r="212" spans="1:13">
      <c r="A212" t="s">
        <v>71</v>
      </c>
      <c r="B212" s="1">
        <v>1238679</v>
      </c>
      <c r="C212" t="str">
        <f t="shared" si="3"/>
        <v>С</v>
      </c>
      <c r="I212" t="s">
        <v>122</v>
      </c>
      <c r="J212" s="4">
        <v>0.0211535676838186</v>
      </c>
      <c r="K212" t="s">
        <v>30</v>
      </c>
      <c r="L212" t="s">
        <v>0</v>
      </c>
      <c r="M212">
        <v>109356</v>
      </c>
    </row>
    <row r="213" spans="1:13">
      <c r="A213" t="s">
        <v>214</v>
      </c>
      <c r="B213" s="1">
        <v>398790</v>
      </c>
      <c r="C213" t="str">
        <f t="shared" si="3"/>
        <v>С</v>
      </c>
      <c r="I213" t="s">
        <v>201</v>
      </c>
      <c r="J213" s="4">
        <v>0.0197259292176049</v>
      </c>
      <c r="K213" t="s">
        <v>30</v>
      </c>
      <c r="L213" t="s">
        <v>0</v>
      </c>
      <c r="M213">
        <v>123791</v>
      </c>
    </row>
    <row r="214" spans="1:13">
      <c r="A214" t="s">
        <v>231</v>
      </c>
      <c r="B214" s="1">
        <v>201476</v>
      </c>
      <c r="C214" t="str">
        <f t="shared" si="3"/>
        <v>С</v>
      </c>
      <c r="I214" t="s">
        <v>283</v>
      </c>
      <c r="J214" s="4">
        <v>0.0189459224268228</v>
      </c>
      <c r="K214" t="s">
        <v>30</v>
      </c>
      <c r="L214" t="s">
        <v>0</v>
      </c>
      <c r="M214">
        <v>118121</v>
      </c>
    </row>
    <row r="215" spans="1:13">
      <c r="A215" t="s">
        <v>86</v>
      </c>
      <c r="B215" s="1">
        <v>1220532</v>
      </c>
      <c r="C215" t="str">
        <f t="shared" si="3"/>
        <v>С</v>
      </c>
      <c r="I215" t="s">
        <v>60</v>
      </c>
      <c r="J215" s="4">
        <v>0.0168957698408844</v>
      </c>
      <c r="K215" t="s">
        <v>30</v>
      </c>
      <c r="L215" t="s">
        <v>0</v>
      </c>
      <c r="M215">
        <v>107488</v>
      </c>
    </row>
    <row r="216" spans="1:13">
      <c r="A216" t="s">
        <v>50</v>
      </c>
      <c r="B216" s="1">
        <v>139705</v>
      </c>
      <c r="C216" t="str">
        <f t="shared" si="3"/>
        <v>С</v>
      </c>
      <c r="I216" t="s">
        <v>196</v>
      </c>
      <c r="J216" s="4">
        <v>0.0160176553431539</v>
      </c>
      <c r="K216" t="s">
        <v>30</v>
      </c>
      <c r="L216" t="s">
        <v>0</v>
      </c>
      <c r="M216">
        <v>114147</v>
      </c>
    </row>
    <row r="217" spans="1:13">
      <c r="A217" t="s">
        <v>128</v>
      </c>
      <c r="B217" s="1">
        <v>809221</v>
      </c>
      <c r="C217" t="str">
        <f t="shared" si="3"/>
        <v>С</v>
      </c>
      <c r="I217" t="s">
        <v>178</v>
      </c>
      <c r="J217" s="4">
        <v>0.235044041264481</v>
      </c>
      <c r="K217" t="s">
        <v>30</v>
      </c>
      <c r="L217" t="s">
        <v>305</v>
      </c>
      <c r="M217">
        <v>104606</v>
      </c>
    </row>
    <row r="218" spans="1:13">
      <c r="A218" t="s">
        <v>120</v>
      </c>
      <c r="B218" s="1">
        <v>148841</v>
      </c>
      <c r="C218" t="str">
        <f t="shared" si="3"/>
        <v>С</v>
      </c>
      <c r="I218" t="s">
        <v>242</v>
      </c>
      <c r="J218" s="4">
        <v>0.175540337946533</v>
      </c>
      <c r="K218" t="s">
        <v>30</v>
      </c>
      <c r="L218" t="s">
        <v>305</v>
      </c>
      <c r="M218">
        <v>94694</v>
      </c>
    </row>
    <row r="219" spans="1:13">
      <c r="A219" t="s">
        <v>280</v>
      </c>
      <c r="B219" s="1">
        <v>220321</v>
      </c>
      <c r="C219" t="str">
        <f t="shared" si="3"/>
        <v>С</v>
      </c>
      <c r="I219" t="s">
        <v>154</v>
      </c>
      <c r="J219" s="4">
        <v>0.173432152977695</v>
      </c>
      <c r="K219" t="s">
        <v>30</v>
      </c>
      <c r="L219" t="s">
        <v>305</v>
      </c>
      <c r="M219">
        <v>107076</v>
      </c>
    </row>
    <row r="220" spans="1:13">
      <c r="A220" t="s">
        <v>224</v>
      </c>
      <c r="B220" s="1">
        <v>1214210</v>
      </c>
      <c r="C220" t="str">
        <f t="shared" si="3"/>
        <v>С</v>
      </c>
      <c r="I220" t="s">
        <v>49</v>
      </c>
      <c r="J220" s="4">
        <v>0.170890971347322</v>
      </c>
      <c r="K220" t="s">
        <v>30</v>
      </c>
      <c r="L220" t="s">
        <v>305</v>
      </c>
      <c r="M220">
        <v>112607</v>
      </c>
    </row>
    <row r="221" spans="1:13">
      <c r="A221" t="s">
        <v>72</v>
      </c>
      <c r="B221" s="1">
        <v>1197239</v>
      </c>
      <c r="C221" t="str">
        <f t="shared" si="3"/>
        <v>С</v>
      </c>
      <c r="I221" t="s">
        <v>241</v>
      </c>
      <c r="J221" s="4">
        <v>0.159320467845398</v>
      </c>
      <c r="K221" t="s">
        <v>30</v>
      </c>
      <c r="L221" t="s">
        <v>305</v>
      </c>
      <c r="M221">
        <v>94602</v>
      </c>
    </row>
    <row r="222" spans="1:13">
      <c r="A222" t="s">
        <v>199</v>
      </c>
      <c r="B222" s="1">
        <v>569123</v>
      </c>
      <c r="C222" t="str">
        <f t="shared" si="3"/>
        <v>С</v>
      </c>
      <c r="I222" t="s">
        <v>141</v>
      </c>
      <c r="J222" s="4">
        <v>0.155948086565957</v>
      </c>
      <c r="K222" t="s">
        <v>30</v>
      </c>
      <c r="L222" t="s">
        <v>305</v>
      </c>
      <c r="M222">
        <v>115568</v>
      </c>
    </row>
    <row r="223" spans="1:13">
      <c r="A223" t="s">
        <v>123</v>
      </c>
      <c r="B223" s="1">
        <v>114958</v>
      </c>
      <c r="C223" t="str">
        <f t="shared" si="3"/>
        <v>С</v>
      </c>
      <c r="I223" t="s">
        <v>121</v>
      </c>
      <c r="J223" s="4">
        <v>0.143038908357011</v>
      </c>
      <c r="K223" t="s">
        <v>30</v>
      </c>
      <c r="L223" t="s">
        <v>305</v>
      </c>
      <c r="M223">
        <v>113483</v>
      </c>
    </row>
    <row r="224" spans="1:13">
      <c r="A224" t="s">
        <v>179</v>
      </c>
      <c r="B224" s="1">
        <v>121847</v>
      </c>
      <c r="C224" t="str">
        <f t="shared" si="3"/>
        <v>С</v>
      </c>
      <c r="I224" t="s">
        <v>269</v>
      </c>
      <c r="J224" s="4">
        <v>0.132776548668181</v>
      </c>
      <c r="K224" t="s">
        <v>30</v>
      </c>
      <c r="L224" t="s">
        <v>305</v>
      </c>
      <c r="M224">
        <v>104094</v>
      </c>
    </row>
    <row r="225" spans="1:13">
      <c r="A225" t="s">
        <v>107</v>
      </c>
      <c r="B225" s="1">
        <v>1328696</v>
      </c>
      <c r="C225" t="str">
        <f t="shared" si="3"/>
        <v>С</v>
      </c>
      <c r="I225" t="s">
        <v>111</v>
      </c>
      <c r="J225" s="4">
        <v>0.132370070746537</v>
      </c>
      <c r="K225" t="s">
        <v>30</v>
      </c>
      <c r="L225" t="s">
        <v>305</v>
      </c>
      <c r="M225">
        <v>97447</v>
      </c>
    </row>
    <row r="226" spans="1:13">
      <c r="A226" t="s">
        <v>195</v>
      </c>
      <c r="B226" s="1">
        <v>131258</v>
      </c>
      <c r="C226" t="str">
        <f t="shared" si="3"/>
        <v>С</v>
      </c>
      <c r="I226" t="s">
        <v>73</v>
      </c>
      <c r="J226" s="4">
        <v>0.130811148840487</v>
      </c>
      <c r="K226" t="s">
        <v>30</v>
      </c>
      <c r="L226" t="s">
        <v>305</v>
      </c>
      <c r="M226">
        <v>113365</v>
      </c>
    </row>
    <row r="227" spans="1:13">
      <c r="A227" t="s">
        <v>271</v>
      </c>
      <c r="B227" s="1">
        <v>226006</v>
      </c>
      <c r="C227" t="str">
        <f t="shared" si="3"/>
        <v>С</v>
      </c>
      <c r="I227" t="s">
        <v>222</v>
      </c>
      <c r="J227" s="4">
        <v>0.125319609594684</v>
      </c>
      <c r="K227" t="s">
        <v>30</v>
      </c>
      <c r="L227" t="s">
        <v>305</v>
      </c>
      <c r="M227">
        <v>89233</v>
      </c>
    </row>
    <row r="228" spans="1:13">
      <c r="A228" t="s">
        <v>215</v>
      </c>
      <c r="B228" s="1">
        <v>440624</v>
      </c>
      <c r="C228" t="str">
        <f t="shared" si="3"/>
        <v>С</v>
      </c>
      <c r="I228" t="s">
        <v>227</v>
      </c>
      <c r="J228" s="4">
        <v>0.115764928977322</v>
      </c>
      <c r="K228" t="s">
        <v>30</v>
      </c>
      <c r="L228" t="s">
        <v>305</v>
      </c>
      <c r="M228">
        <v>106384</v>
      </c>
    </row>
    <row r="229" spans="1:13">
      <c r="A229" t="s">
        <v>165</v>
      </c>
      <c r="B229" s="1">
        <v>453126</v>
      </c>
      <c r="C229" t="str">
        <f t="shared" si="3"/>
        <v>С</v>
      </c>
      <c r="I229" t="s">
        <v>205</v>
      </c>
      <c r="J229" s="4">
        <v>0.785535505463565</v>
      </c>
      <c r="K229" t="s">
        <v>30</v>
      </c>
      <c r="L229" t="s">
        <v>300</v>
      </c>
      <c r="M229">
        <v>89480</v>
      </c>
    </row>
    <row r="230" spans="1:13">
      <c r="A230" t="s">
        <v>82</v>
      </c>
      <c r="B230" s="1">
        <v>481550</v>
      </c>
      <c r="C230" t="str">
        <f t="shared" si="3"/>
        <v>С</v>
      </c>
      <c r="I230" t="s">
        <v>255</v>
      </c>
      <c r="J230" s="4">
        <v>0.750388241142319</v>
      </c>
      <c r="K230" t="s">
        <v>30</v>
      </c>
      <c r="L230" t="s">
        <v>300</v>
      </c>
      <c r="M230">
        <v>115732</v>
      </c>
    </row>
    <row r="231" spans="1:13">
      <c r="A231" t="s">
        <v>83</v>
      </c>
      <c r="B231" s="1">
        <v>505420</v>
      </c>
      <c r="C231" t="str">
        <f t="shared" si="3"/>
        <v>С</v>
      </c>
      <c r="I231" t="s">
        <v>261</v>
      </c>
      <c r="J231" s="4">
        <v>0.726973515812639</v>
      </c>
      <c r="K231" t="s">
        <v>30</v>
      </c>
      <c r="L231" t="s">
        <v>300</v>
      </c>
      <c r="M231">
        <v>100764</v>
      </c>
    </row>
    <row r="232" spans="1:13">
      <c r="A232" t="s">
        <v>143</v>
      </c>
      <c r="B232" s="1">
        <v>217871</v>
      </c>
      <c r="C232" t="str">
        <f t="shared" si="3"/>
        <v>С</v>
      </c>
      <c r="I232" t="s">
        <v>266</v>
      </c>
      <c r="J232" s="4">
        <v>0.637058202742896</v>
      </c>
      <c r="K232" t="s">
        <v>30</v>
      </c>
      <c r="L232" t="s">
        <v>300</v>
      </c>
      <c r="M232">
        <v>88566</v>
      </c>
    </row>
    <row r="233" spans="1:13">
      <c r="A233" t="s">
        <v>138</v>
      </c>
      <c r="B233" s="1">
        <v>826949</v>
      </c>
      <c r="C233" t="str">
        <f t="shared" si="3"/>
        <v>С</v>
      </c>
      <c r="I233" t="s">
        <v>51</v>
      </c>
      <c r="J233" s="4">
        <v>0.634926603145203</v>
      </c>
      <c r="K233" t="s">
        <v>30</v>
      </c>
      <c r="L233" t="s">
        <v>300</v>
      </c>
      <c r="M233">
        <v>97999</v>
      </c>
    </row>
    <row r="234" spans="1:13">
      <c r="A234" t="s">
        <v>97</v>
      </c>
      <c r="B234" s="1">
        <v>1234409</v>
      </c>
      <c r="C234" t="str">
        <f t="shared" si="3"/>
        <v>С</v>
      </c>
      <c r="I234" t="s">
        <v>281</v>
      </c>
      <c r="J234" s="4">
        <v>0.600387426309782</v>
      </c>
      <c r="K234" t="s">
        <v>30</v>
      </c>
      <c r="L234" t="s">
        <v>300</v>
      </c>
      <c r="M234">
        <v>122933</v>
      </c>
    </row>
    <row r="235" spans="1:13">
      <c r="A235" t="s">
        <v>265</v>
      </c>
      <c r="B235" s="1">
        <v>408345</v>
      </c>
      <c r="C235" t="str">
        <f t="shared" si="3"/>
        <v>С</v>
      </c>
      <c r="I235" t="s">
        <v>198</v>
      </c>
      <c r="J235" s="4">
        <v>0.594683265293616</v>
      </c>
      <c r="K235" t="s">
        <v>30</v>
      </c>
      <c r="L235" t="s">
        <v>300</v>
      </c>
      <c r="M235">
        <v>122232</v>
      </c>
    </row>
    <row r="236" spans="1:13">
      <c r="A236" t="s">
        <v>108</v>
      </c>
      <c r="B236" s="1">
        <v>776471</v>
      </c>
      <c r="C236" t="str">
        <f t="shared" si="3"/>
        <v>С</v>
      </c>
      <c r="I236" t="s">
        <v>150</v>
      </c>
      <c r="J236" s="4">
        <v>0.590384556370466</v>
      </c>
      <c r="K236" t="s">
        <v>30</v>
      </c>
      <c r="L236" t="s">
        <v>300</v>
      </c>
      <c r="M236">
        <v>112151</v>
      </c>
    </row>
    <row r="237" spans="1:13">
      <c r="A237" t="s">
        <v>156</v>
      </c>
      <c r="B237" s="1">
        <v>114680</v>
      </c>
      <c r="C237" t="str">
        <f t="shared" si="3"/>
        <v>С</v>
      </c>
      <c r="I237" t="s">
        <v>185</v>
      </c>
      <c r="J237" s="4">
        <v>0.58707426577191</v>
      </c>
      <c r="K237" t="s">
        <v>30</v>
      </c>
      <c r="L237" t="s">
        <v>300</v>
      </c>
      <c r="M237">
        <v>125309</v>
      </c>
    </row>
    <row r="238" spans="1:13">
      <c r="A238" t="s">
        <v>236</v>
      </c>
      <c r="B238" s="1">
        <v>112514</v>
      </c>
      <c r="C238" t="str">
        <f t="shared" si="3"/>
        <v>С</v>
      </c>
      <c r="I238" t="s">
        <v>243</v>
      </c>
      <c r="J238" s="4">
        <v>0.560275728081215</v>
      </c>
      <c r="K238" t="s">
        <v>30</v>
      </c>
      <c r="L238" t="s">
        <v>300</v>
      </c>
      <c r="M238">
        <v>121953</v>
      </c>
    </row>
    <row r="239" spans="1:13">
      <c r="A239" t="s">
        <v>281</v>
      </c>
      <c r="B239" s="1">
        <v>122933</v>
      </c>
      <c r="C239" t="str">
        <f t="shared" si="3"/>
        <v>С</v>
      </c>
      <c r="I239" s="6" t="s">
        <v>160</v>
      </c>
      <c r="J239" s="9">
        <v>0.550464989851805</v>
      </c>
      <c r="K239" t="s">
        <v>30</v>
      </c>
      <c r="L239" t="s">
        <v>300</v>
      </c>
      <c r="M239">
        <v>113367</v>
      </c>
    </row>
    <row r="240" spans="1:13">
      <c r="A240" t="s">
        <v>91</v>
      </c>
      <c r="B240" s="1">
        <v>752738</v>
      </c>
      <c r="C240" t="str">
        <f t="shared" si="3"/>
        <v>С</v>
      </c>
      <c r="I240" t="s">
        <v>88</v>
      </c>
      <c r="J240" s="4">
        <v>0.536311739745374</v>
      </c>
      <c r="K240" t="s">
        <v>30</v>
      </c>
      <c r="L240" t="s">
        <v>300</v>
      </c>
      <c r="M240">
        <v>104803</v>
      </c>
    </row>
  </sheetData>
  <sortState ref="I4:L240">
    <sortCondition ref="K4:K240"/>
    <sortCondition ref="L4:L24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АВС Менеджеры сумма</vt:lpstr>
      <vt:lpstr>АВС Менеджеры сделки</vt:lpstr>
      <vt:lpstr>Данные</vt:lpstr>
      <vt:lpstr>ABC Менеджеры</vt:lpstr>
      <vt:lpstr>ABC_XYZ Клиенты</vt:lpstr>
      <vt:lpstr>АВС_XYZ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Mazur</cp:lastModifiedBy>
  <dcterms:created xsi:type="dcterms:W3CDTF">2025-11-14T20:18:00Z</dcterms:created>
  <dcterms:modified xsi:type="dcterms:W3CDTF">2026-10-06T04:47:29Z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1049-12.1.2.24824</vt:lpwstr>
  </property>
  <property fmtid="{D5CDD505-2E9C-101B-9397-08002B2CF9AE}" pid="3" name="CalculationRule">
    <vt:i4>0</vt:i4>
  </property>
  <property fmtid="{D5CDD505-2E9C-101B-9397-08002B2CF9AE}" pid="4" name="ICV">
    <vt:lpwstr>22149F3D18613566C1D4C36AB81524BB_43</vt:lpwstr>
  </property>
</Properties>
</file>