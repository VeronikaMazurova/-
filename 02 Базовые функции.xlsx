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00" windowHeight="7740" tabRatio="855" firstSheet="23" activeTab="23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И ИЛИ" sheetId="10" r:id="rId8"/>
    <sheet name="СЧЁТЕСЛИ" sheetId="7" r:id="rId9"/>
    <sheet name="ЕСЛИ" sheetId="6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ПОИСК НАЙТИ" sheetId="4" r:id="rId15"/>
    <sheet name="ПОДСТАВИТЬ" sheetId="13" r:id="rId16"/>
    <sheet name="ЗАМЕНИТЬ" sheetId="27" r:id="rId17"/>
    <sheet name="ЛЕВСИМВ ПРАВСИМВ" sheetId="14" r:id="rId18"/>
    <sheet name="ДЛСТР" sheetId="15" r:id="rId19"/>
    <sheet name="СЦЕПИТЬ" sheetId="18" r:id="rId20"/>
    <sheet name="СТРОЧН ПРОПНАЧ ПРОПИСН" sheetId="30" r:id="rId21"/>
    <sheet name="СЧЁТ СЧЁТЗ" sheetId="16" r:id="rId22"/>
    <sheet name="СЧИТАТЬПУСТОТЫ" sheetId="20" r:id="rId23"/>
    <sheet name="ЕПУСТО ЕТЕКСТ ЕЧИСЛО" sheetId="31" r:id="rId24"/>
    <sheet name="НАИБОЛЬШИЙ НАИМЕНЬШИЙ" sheetId="19" r:id="rId25"/>
    <sheet name="ВПР" sheetId="21" r:id="rId26"/>
    <sheet name="ЕСЛИОШИБКА" sheetId="23" r:id="rId27"/>
    <sheet name="ИНДЕКС" sheetId="25" r:id="rId28"/>
    <sheet name="РАНГ" sheetId="26" r:id="rId29"/>
    <sheet name="ПОИСКПОЗ" sheetId="24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<sst xmlns="http://schemas.openxmlformats.org/spreadsheetml/2006/main" count="573" uniqueCount="405">
  <si>
    <t>tolstyakoff.ru</t>
  </si>
  <si>
    <t>ДАТА</t>
  </si>
  <si>
    <t>Год</t>
  </si>
  <si>
    <t>Месяц</t>
  </si>
  <si>
    <t>День</t>
  </si>
  <si>
    <t>Результат</t>
  </si>
  <si>
    <t>ДЕНЬ</t>
  </si>
  <si>
    <t>МЕСЯЦ</t>
  </si>
  <si>
    <t>ГОД</t>
  </si>
  <si>
    <t>Дата</t>
  </si>
  <si>
    <t>СЕГОДНЯ</t>
  </si>
  <si>
    <t>Формула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</si>
  <si>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</si>
  <si>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</si>
  <si>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</si>
  <si>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</si>
  <si>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</si>
  <si>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</si>
  <si>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</si>
  <si>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</si>
  <si>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</si>
  <si>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</si>
  <si>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</si>
  <si>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</si>
  <si>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</si>
  <si>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</si>
  <si>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</si>
  <si>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</si>
  <si>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</si>
  <si>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</si>
  <si>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</si>
  <si>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</si>
  <si>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</si>
  <si>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</si>
  <si>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ТДАТА</t>
  </si>
  <si>
    <t>Дата Время</t>
  </si>
  <si>
    <t>=ТДАТА()</t>
  </si>
  <si>
    <t>//Аналогично, но + время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</si>
  <si>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</si>
  <si>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</si>
  <si>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</si>
  <si>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</si>
  <si>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</si>
  <si>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</si>
  <si>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</si>
  <si>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</si>
  <si>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</si>
  <si>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</si>
  <si>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</si>
  <si>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</si>
  <si>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</si>
  <si>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</si>
  <si>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</si>
  <si>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</si>
  <si>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</si>
  <si>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</si>
  <si>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</si>
  <si>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</si>
  <si>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</si>
  <si>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</si>
  <si>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</si>
  <si>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</si>
  <si>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</si>
  <si>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</si>
  <si>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</si>
  <si>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</si>
  <si>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</si>
  <si>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</si>
  <si>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</si>
  <si>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</si>
  <si>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</si>
  <si>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</si>
  <si>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</si>
  <si>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</si>
  <si>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</si>
  <si>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</si>
  <si>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</si>
  <si>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</si>
  <si>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</si>
  <si>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</si>
  <si>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</si>
  <si>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</si>
  <si>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</si>
  <si>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</si>
  <si>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</si>
  <si>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</si>
  <si>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</si>
  <si>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</si>
  <si>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</si>
  <si>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</si>
  <si>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</si>
  <si>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</si>
  <si>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И</t>
  </si>
  <si>
    <t>ИЛИ</t>
  </si>
  <si>
    <t>Кол-во</t>
  </si>
  <si>
    <t>Цвет</t>
  </si>
  <si>
    <t>Красный</t>
  </si>
  <si>
    <t>Синий</t>
  </si>
  <si>
    <t>Желтый</t>
  </si>
  <si>
    <t>Зеленый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</si>
  <si>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</si>
  <si>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</si>
  <si>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</si>
  <si>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</si>
  <si>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</si>
  <si>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</si>
  <si>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</si>
  <si>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</si>
  <si>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</si>
  <si>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</si>
  <si>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</si>
  <si>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</si>
  <si>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</si>
  <si>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</si>
  <si>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</si>
  <si>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</si>
  <si>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</si>
  <si>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</si>
  <si>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</si>
  <si>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</si>
  <si>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</si>
  <si>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</si>
  <si>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</si>
  <si>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</si>
  <si>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</si>
  <si>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</si>
  <si>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</si>
  <si>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</si>
  <si>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</si>
  <si>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</si>
  <si>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</si>
  <si>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</si>
  <si>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</si>
  <si>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</si>
  <si>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</si>
  <si>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</si>
  <si>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</si>
  <si>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</si>
  <si>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</si>
  <si>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</si>
  <si>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</si>
  <si>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</si>
  <si>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</si>
  <si>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</si>
  <si>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</si>
  <si>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</si>
  <si>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</si>
  <si>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</si>
  <si>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</si>
  <si>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</si>
  <si>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</si>
  <si>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</si>
  <si>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</si>
  <si>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</si>
  <si>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</si>
  <si>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</si>
  <si>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</si>
  <si>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</si>
  <si>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</si>
  <si>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</si>
  <si>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</si>
  <si>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</si>
  <si>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</si>
  <si>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</si>
  <si>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</si>
  <si>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</si>
  <si>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</si>
  <si>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</si>
  <si>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</si>
  <si>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</si>
  <si>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</si>
  <si>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</si>
  <si>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</si>
  <si>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</si>
  <si>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</si>
  <si>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</si>
  <si>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</si>
  <si>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</si>
  <si>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</si>
  <si>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</si>
  <si>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</si>
  <si>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</si>
  <si>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СЖПРОБЕЛЫ</t>
  </si>
  <si>
    <t>Текст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</si>
  <si>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</si>
  <si>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</si>
  <si>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</si>
  <si>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</si>
  <si>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</si>
  <si>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</si>
  <si>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</si>
  <si>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ПОИСК          НАЙТИ</t>
  </si>
  <si>
    <t>Искать</t>
  </si>
  <si>
    <t>Результат ПОИСК</t>
  </si>
  <si>
    <t>Результат НАЙТИ</t>
  </si>
  <si>
    <t>С</t>
  </si>
  <si>
    <r>
      <rPr>
        <b/>
        <sz val="11"/>
        <rFont val="Calibri"/>
        <charset val="134"/>
        <scheme val="minor"/>
      </rPr>
      <t>С</t>
    </r>
    <r>
      <rPr>
        <sz val="11"/>
        <color theme="1"/>
        <rFont val="Calibri"/>
        <charset val="134"/>
        <scheme val="minor"/>
      </rPr>
      <t>уббота</t>
    </r>
  </si>
  <si>
    <t>// результат - номер символа</t>
  </si>
  <si>
    <t>б</t>
  </si>
  <si>
    <r>
      <rPr>
        <sz val="11"/>
        <color theme="1"/>
        <rFont val="Calibri"/>
        <charset val="134"/>
        <scheme val="minor"/>
      </rPr>
      <t>Су</t>
    </r>
    <r>
      <rPr>
        <b/>
        <sz val="11"/>
        <color theme="1"/>
        <rFont val="Calibri"/>
        <charset val="134"/>
        <scheme val="minor"/>
      </rPr>
      <t>б</t>
    </r>
    <r>
      <rPr>
        <sz val="11"/>
        <color theme="1"/>
        <rFont val="Calibri"/>
        <charset val="134"/>
        <scheme val="minor"/>
      </rPr>
      <t>бота</t>
    </r>
  </si>
  <si>
    <t>// выдает 1ое вхождение</t>
  </si>
  <si>
    <t>та</t>
  </si>
  <si>
    <r>
      <rPr>
        <sz val="11"/>
        <color theme="1"/>
        <rFont val="Calibri"/>
        <charset val="134"/>
        <scheme val="minor"/>
      </rPr>
      <t>Суббо</t>
    </r>
    <r>
      <rPr>
        <b/>
        <sz val="11"/>
        <color theme="1"/>
        <rFont val="Calibri"/>
        <charset val="134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</si>
  <si>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</si>
  <si>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</si>
  <si>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charset val="134"/>
        <scheme val="minor"/>
      </rPr>
      <t>Т</t>
    </r>
    <r>
      <rPr>
        <sz val="11"/>
        <color theme="1"/>
        <rFont val="Calibri"/>
        <charset val="134"/>
        <scheme val="minor"/>
      </rPr>
      <t xml:space="preserve">ерпенье и </t>
    </r>
    <r>
      <rPr>
        <b/>
        <sz val="11"/>
        <color theme="1"/>
        <rFont val="Calibri"/>
        <charset val="134"/>
        <scheme val="minor"/>
      </rPr>
      <t>т</t>
    </r>
    <r>
      <rPr>
        <sz val="11"/>
        <color theme="1"/>
        <rFont val="Calibri"/>
        <charset val="134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</si>
  <si>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</si>
  <si>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</si>
  <si>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charset val="134"/>
        <scheme val="minor"/>
      </rPr>
      <t>Т</t>
    </r>
    <r>
      <rPr>
        <sz val="11"/>
        <color theme="1"/>
        <rFont val="Calibri"/>
        <charset val="134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</si>
  <si>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</si>
  <si>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</si>
  <si>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</si>
  <si>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charset val="134"/>
        <scheme val="minor"/>
      </rPr>
      <t>Тер</t>
    </r>
    <r>
      <rPr>
        <sz val="11"/>
        <color theme="1"/>
        <rFont val="Calibri"/>
        <charset val="134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</si>
  <si>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</si>
  <si>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</si>
  <si>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</si>
  <si>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rPr>
        <sz val="11"/>
        <color theme="1"/>
        <rFont val="Calibri"/>
        <charset val="134"/>
        <scheme val="minor"/>
      </rPr>
      <t>Статус</t>
    </r>
    <r>
      <rPr>
        <b/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 xml:space="preserve"> готово</t>
    </r>
  </si>
  <si>
    <t>// знаки препинания считаются</t>
  </si>
  <si>
    <t>-</t>
  </si>
  <si>
    <r>
      <rPr>
        <sz val="11"/>
        <color theme="1"/>
        <rFont val="Calibri"/>
        <charset val="134"/>
        <scheme val="minor"/>
      </rPr>
      <t>909</t>
    </r>
    <r>
      <rPr>
        <b/>
        <sz val="11"/>
        <color theme="1"/>
        <rFont val="Calibri"/>
        <charset val="134"/>
        <scheme val="minor"/>
      </rPr>
      <t>-</t>
    </r>
    <r>
      <rPr>
        <sz val="11"/>
        <color theme="1"/>
        <rFont val="Calibri"/>
        <charset val="134"/>
        <scheme val="minor"/>
      </rPr>
      <t>888-55-66</t>
    </r>
  </si>
  <si>
    <t>// позиция 1го дефиса</t>
  </si>
  <si>
    <t>// работает с числами</t>
  </si>
  <si>
    <t>ПОДСТАВИТЬ</t>
  </si>
  <si>
    <t>Старый текст</t>
  </si>
  <si>
    <t>Новый текст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</si>
  <si>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</si>
  <si>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</si>
  <si>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</si>
  <si>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</si>
  <si>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</si>
  <si>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</si>
  <si>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</si>
  <si>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</si>
  <si>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</si>
  <si>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</si>
  <si>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</si>
  <si>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</si>
  <si>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</si>
  <si>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</si>
  <si>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</si>
  <si>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</si>
  <si>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</si>
  <si>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</si>
  <si>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</si>
  <si>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</si>
  <si>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</si>
  <si>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</si>
  <si>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</si>
  <si>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</si>
  <si>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</si>
  <si>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</si>
  <si>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</si>
  <si>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</si>
  <si>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</si>
  <si>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</si>
  <si>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</si>
  <si>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</si>
  <si>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</si>
  <si>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</si>
  <si>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</si>
  <si>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</si>
  <si>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</si>
  <si>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</si>
  <si>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</si>
  <si>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</si>
  <si>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</si>
  <si>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</si>
  <si>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</si>
  <si>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</si>
  <si>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</si>
  <si>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</si>
  <si>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</si>
  <si>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</si>
  <si>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</si>
  <si>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</si>
  <si>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</si>
  <si>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</si>
  <si>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</si>
  <si>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</si>
  <si>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</si>
  <si>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</si>
  <si>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</si>
  <si>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</si>
  <si>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</si>
  <si>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</si>
  <si>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</si>
  <si>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</si>
  <si>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</si>
  <si>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</si>
  <si>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</si>
  <si>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</si>
  <si>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</si>
  <si>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</si>
  <si>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</si>
  <si>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</si>
  <si>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</si>
  <si>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</si>
  <si>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</si>
  <si>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</si>
  <si>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</si>
  <si>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</si>
  <si>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</si>
  <si>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</si>
  <si>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</si>
  <si>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</si>
  <si>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</si>
  <si>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</si>
  <si>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</si>
  <si>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</si>
  <si>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</si>
  <si>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</si>
  <si>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</si>
  <si>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</si>
  <si>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</si>
  <si>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</si>
  <si>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</si>
  <si>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</si>
  <si>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</si>
  <si>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</si>
  <si>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</si>
  <si>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</si>
  <si>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</si>
  <si>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</si>
  <si>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</si>
  <si>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</si>
  <si>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</si>
  <si>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</si>
  <si>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</si>
  <si>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</si>
  <si>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</si>
  <si>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</si>
  <si>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</si>
  <si>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</si>
  <si>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</si>
  <si>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</si>
  <si>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</si>
  <si>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</si>
  <si>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</si>
  <si>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</si>
  <si>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</si>
  <si>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</si>
  <si>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</si>
  <si>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</si>
  <si>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</si>
  <si>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</si>
  <si>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</si>
  <si>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</si>
  <si>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</si>
  <si>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</si>
  <si>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</si>
  <si>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</si>
  <si>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</si>
  <si>
    <t>НАИБОЛЬШИЙ</t>
  </si>
  <si>
    <t>НАИМЕНЬШИЙ</t>
  </si>
  <si>
    <t>№</t>
  </si>
  <si>
    <t>Наибольшие баллы</t>
  </si>
  <si>
    <t>Наименьшие баллы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</si>
  <si>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</si>
  <si>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</si>
  <si>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</si>
  <si>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</si>
  <si>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</si>
  <si>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</si>
  <si>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</si>
  <si>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</si>
  <si>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</si>
  <si>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</si>
  <si>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</si>
  <si>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</si>
  <si>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</si>
  <si>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</si>
  <si>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</si>
  <si>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</si>
  <si>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</si>
  <si>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</si>
  <si>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</si>
  <si>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</si>
  <si>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</si>
  <si>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</si>
  <si>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</si>
  <si>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</si>
  <si>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</si>
  <si>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</si>
  <si>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</si>
  <si>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</si>
  <si>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</si>
  <si>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</si>
  <si>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</si>
  <si>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</si>
  <si>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</si>
  <si>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</si>
  <si>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</si>
  <si>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</si>
  <si>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</si>
  <si>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</si>
  <si>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</si>
  <si>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</si>
  <si>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</si>
  <si>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</si>
  <si>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</si>
  <si>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</si>
  <si>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</si>
  <si>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</si>
  <si>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</si>
  <si>
    <t>ПОИСКПОЗ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</si>
</sst>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\-??\ &quot;₽&quot;_-;_-@_-"/>
    <numFmt numFmtId="177" formatCode="_-* #,##0\ &quot;₽&quot;_-;\-* #,##0\ &quot;₽&quot;_-;_-* \-\ &quot;₽&quot;_-;_-@_-"/>
    <numFmt numFmtId="178" formatCode="#,##0\ &quot;₽&quot;"/>
    <numFmt numFmtId="179" formatCode="#,##0.0"/>
    <numFmt numFmtId="180" formatCode="0.0"/>
    <numFmt numFmtId="181" formatCode="dd/mm/yy\ h:mm;@"/>
    <numFmt numFmtId="182" formatCode="#,##0.00\ &quot;₽&quot;"/>
    <numFmt numFmtId="183" formatCode="0.00000000000000000000"/>
    <numFmt numFmtId="184" formatCode="0.0000000"/>
    <numFmt numFmtId="185" formatCode="0.000"/>
    <numFmt numFmtId="186" formatCode="h:mm:ss;@"/>
    <numFmt numFmtId="187" formatCode="dd/mm/yy;@"/>
  </numFmts>
  <fonts count="34">
    <font>
      <sz val="11"/>
      <color theme="1"/>
      <name val="Calibri"/>
      <charset val="134"/>
      <scheme val="minor"/>
    </font>
    <font>
      <u/>
      <sz val="11"/>
      <color theme="10"/>
      <name val="Calibri"/>
      <charset val="20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0" tint="-0.499984740745262"/>
      <name val="Calibri"/>
      <charset val="204"/>
      <scheme val="minor"/>
    </font>
    <font>
      <b/>
      <sz val="12"/>
      <color rgb="FFFF6E40"/>
      <name val="Calibri"/>
      <charset val="134"/>
      <scheme val="minor"/>
    </font>
    <font>
      <b/>
      <sz val="11"/>
      <color rgb="FFFF6E40"/>
      <name val="Calibri"/>
      <charset val="134"/>
      <scheme val="minor"/>
    </font>
    <font>
      <sz val="12"/>
      <color theme="1"/>
      <name val="Calibri"/>
      <charset val="204"/>
      <scheme val="minor"/>
    </font>
    <font>
      <sz val="12"/>
      <color rgb="FFFF6E40"/>
      <name val="Calibri"/>
      <charset val="20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9"/>
      <color theme="1"/>
      <name val="Calibri"/>
      <charset val="204"/>
      <scheme val="minor"/>
    </font>
    <font>
      <sz val="10"/>
      <color theme="1"/>
      <name val="Arial Narrow"/>
      <charset val="204"/>
    </font>
    <font>
      <sz val="14"/>
      <color theme="1"/>
      <name val="Arial Black"/>
      <charset val="20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25896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4" fillId="6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8" borderId="10" applyNumberFormat="0" applyAlignment="0" applyProtection="0">
      <alignment vertical="center"/>
    </xf>
    <xf numFmtId="0" fontId="24" fillId="8" borderId="9" applyNumberFormat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10" fillId="0" borderId="0"/>
    <xf numFmtId="0" fontId="10" fillId="0" borderId="0"/>
  </cellStyleXfs>
  <cellXfs count="89">
    <xf numFmtId="0" fontId="0" fillId="0" borderId="0" xfId="0"/>
    <xf numFmtId="0" fontId="1" fillId="0" borderId="0" xfId="6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8" fontId="0" fillId="0" borderId="1" xfId="0" applyNumberFormat="1" applyBorder="1"/>
    <xf numFmtId="0" fontId="4" fillId="0" borderId="0" xfId="0" applyFont="1" applyAlignment="1">
      <alignment horizontal="left" indent="2"/>
    </xf>
    <xf numFmtId="0" fontId="4" fillId="0" borderId="0" xfId="0" applyFont="1"/>
    <xf numFmtId="0" fontId="0" fillId="0" borderId="1" xfId="0" applyBorder="1"/>
    <xf numFmtId="3" fontId="0" fillId="4" borderId="1" xfId="0" applyNumberFormat="1" applyFill="1" applyBorder="1"/>
    <xf numFmtId="36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/>
    <xf numFmtId="179" fontId="0" fillId="0" borderId="1" xfId="0" applyNumberFormat="1" applyBorder="1"/>
    <xf numFmtId="0" fontId="0" fillId="0" borderId="1" xfId="0" applyFont="1" applyBorder="1"/>
    <xf numFmtId="0" fontId="6" fillId="0" borderId="0" xfId="0" applyFont="1" applyAlignment="1">
      <alignment horizontal="center"/>
    </xf>
    <xf numFmtId="3" fontId="0" fillId="0" borderId="1" xfId="0" applyNumberFormat="1" applyBorder="1"/>
    <xf numFmtId="180" fontId="7" fillId="4" borderId="0" xfId="0" applyNumberFormat="1" applyFont="1" applyFill="1"/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178" fontId="0" fillId="4" borderId="1" xfId="0" applyNumberFormat="1" applyFill="1" applyBorder="1"/>
    <xf numFmtId="178" fontId="0" fillId="0" borderId="0" xfId="0" applyNumberFormat="1"/>
    <xf numFmtId="0" fontId="3" fillId="2" borderId="2" xfId="0" applyFont="1" applyFill="1" applyBorder="1" applyAlignment="1">
      <alignment horizontal="center" vertical="center"/>
    </xf>
    <xf numFmtId="0" fontId="0" fillId="5" borderId="1" xfId="0" applyFill="1" applyBorder="1"/>
    <xf numFmtId="3" fontId="0" fillId="5" borderId="1" xfId="0" applyNumberFormat="1" applyFill="1" applyBorder="1"/>
    <xf numFmtId="0" fontId="2" fillId="0" borderId="0" xfId="0" applyFont="1" applyAlignment="1">
      <alignment horizontal="left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8" fillId="0" borderId="0" xfId="0" applyFont="1"/>
    <xf numFmtId="9" fontId="0" fillId="0" borderId="1" xfId="3" applyFont="1" applyBorder="1"/>
    <xf numFmtId="36" fontId="0" fillId="0" borderId="1" xfId="0" applyNumberFormat="1" applyBorder="1"/>
    <xf numFmtId="181" fontId="0" fillId="0" borderId="1" xfId="0" applyNumberForma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35" fontId="0" fillId="0" borderId="1" xfId="0" applyNumberFormat="1" applyBorder="1"/>
    <xf numFmtId="9" fontId="0" fillId="0" borderId="1" xfId="0" applyNumberFormat="1" applyBorder="1"/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/>
    <xf numFmtId="2" fontId="0" fillId="4" borderId="1" xfId="0" applyNumberFormat="1" applyFill="1" applyBorder="1"/>
    <xf numFmtId="182" fontId="0" fillId="0" borderId="1" xfId="0" applyNumberFormat="1" applyBorder="1"/>
    <xf numFmtId="2" fontId="0" fillId="0" borderId="1" xfId="0" applyNumberFormat="1" applyBorder="1"/>
    <xf numFmtId="183" fontId="0" fillId="0" borderId="0" xfId="0" applyNumberFormat="1"/>
    <xf numFmtId="184" fontId="0" fillId="0" borderId="1" xfId="0" applyNumberFormat="1" applyBorder="1"/>
    <xf numFmtId="0" fontId="4" fillId="0" borderId="1" xfId="0" applyFont="1" applyBorder="1"/>
    <xf numFmtId="0" fontId="0" fillId="0" borderId="0" xfId="0" applyFont="1"/>
    <xf numFmtId="178" fontId="0" fillId="0" borderId="1" xfId="0" applyNumberFormat="1" applyFont="1" applyBorder="1"/>
    <xf numFmtId="0" fontId="3" fillId="3" borderId="1" xfId="0" applyFont="1" applyFill="1" applyBorder="1" applyAlignment="1">
      <alignment horizontal="left" vertical="center"/>
    </xf>
    <xf numFmtId="1" fontId="0" fillId="5" borderId="1" xfId="0" applyNumberFormat="1" applyFill="1" applyBorder="1"/>
    <xf numFmtId="36" fontId="0" fillId="4" borderId="1" xfId="0" applyNumberFormat="1" applyFill="1" applyBorder="1"/>
    <xf numFmtId="0" fontId="10" fillId="0" borderId="0" xfId="51"/>
    <xf numFmtId="0" fontId="1" fillId="0" borderId="0" xfId="49"/>
    <xf numFmtId="0" fontId="2" fillId="0" borderId="0" xfId="51" applyFont="1"/>
    <xf numFmtId="0" fontId="2" fillId="0" borderId="0" xfId="51" applyFont="1" applyAlignment="1">
      <alignment horizontal="center"/>
    </xf>
    <xf numFmtId="0" fontId="2" fillId="0" borderId="0" xfId="51" applyFont="1" applyAlignment="1">
      <alignment horizontal="right"/>
    </xf>
    <xf numFmtId="0" fontId="4" fillId="0" borderId="0" xfId="51" applyFont="1"/>
    <xf numFmtId="0" fontId="3" fillId="2" borderId="1" xfId="51" applyFont="1" applyFill="1" applyBorder="1" applyAlignment="1">
      <alignment horizontal="center" vertical="center"/>
    </xf>
    <xf numFmtId="0" fontId="3" fillId="2" borderId="5" xfId="51" applyFont="1" applyFill="1" applyBorder="1" applyAlignment="1">
      <alignment horizontal="center" vertical="center"/>
    </xf>
    <xf numFmtId="0" fontId="10" fillId="0" borderId="1" xfId="51" applyBorder="1"/>
    <xf numFmtId="2" fontId="10" fillId="4" borderId="1" xfId="51" applyNumberFormat="1" applyFill="1" applyBorder="1"/>
    <xf numFmtId="1" fontId="10" fillId="0" borderId="1" xfId="51" applyNumberFormat="1" applyBorder="1"/>
    <xf numFmtId="36" fontId="11" fillId="0" borderId="1" xfId="51" applyNumberFormat="1" applyFont="1" applyBorder="1"/>
    <xf numFmtId="20" fontId="10" fillId="0" borderId="1" xfId="51" applyNumberFormat="1" applyBorder="1"/>
    <xf numFmtId="0" fontId="10" fillId="0" borderId="0" xfId="50"/>
    <xf numFmtId="0" fontId="2" fillId="0" borderId="0" xfId="50" applyFont="1"/>
    <xf numFmtId="0" fontId="2" fillId="0" borderId="0" xfId="50" applyFont="1" applyAlignment="1">
      <alignment horizontal="left"/>
    </xf>
    <xf numFmtId="0" fontId="10" fillId="0" borderId="0" xfId="50" applyAlignment="1">
      <alignment horizontal="left"/>
    </xf>
    <xf numFmtId="0" fontId="2" fillId="0" borderId="0" xfId="50" applyFont="1" applyAlignment="1">
      <alignment horizontal="right"/>
    </xf>
    <xf numFmtId="0" fontId="4" fillId="0" borderId="0" xfId="50" applyFont="1"/>
    <xf numFmtId="0" fontId="3" fillId="2" borderId="1" xfId="50" applyFont="1" applyFill="1" applyBorder="1" applyAlignment="1">
      <alignment horizontal="center" vertical="center"/>
    </xf>
    <xf numFmtId="0" fontId="3" fillId="2" borderId="5" xfId="50" applyFont="1" applyFill="1" applyBorder="1" applyAlignment="1">
      <alignment horizontal="center" vertical="center"/>
    </xf>
    <xf numFmtId="0" fontId="10" fillId="0" borderId="1" xfId="50" applyBorder="1"/>
    <xf numFmtId="1" fontId="10" fillId="0" borderId="1" xfId="50" applyNumberFormat="1" applyBorder="1"/>
    <xf numFmtId="0" fontId="10" fillId="4" borderId="1" xfId="50" applyFill="1" applyBorder="1"/>
    <xf numFmtId="180" fontId="10" fillId="0" borderId="1" xfId="50" applyNumberFormat="1" applyBorder="1"/>
    <xf numFmtId="36" fontId="11" fillId="0" borderId="1" xfId="50" applyNumberFormat="1" applyFont="1" applyBorder="1"/>
    <xf numFmtId="20" fontId="10" fillId="0" borderId="1" xfId="50" applyNumberFormat="1" applyBorder="1"/>
    <xf numFmtId="0" fontId="2" fillId="0" borderId="0" xfId="0" applyFont="1" applyAlignment="1">
      <alignment horizontal="left" indent="1"/>
    </xf>
    <xf numFmtId="185" fontId="0" fillId="0" borderId="1" xfId="0" applyNumberFormat="1" applyBorder="1"/>
    <xf numFmtId="22" fontId="0" fillId="0" borderId="0" xfId="0" applyNumberFormat="1"/>
    <xf numFmtId="181" fontId="0" fillId="4" borderId="1" xfId="0" applyNumberFormat="1" applyFill="1" applyBorder="1"/>
    <xf numFmtId="186" fontId="0" fillId="4" borderId="1" xfId="0" applyNumberFormat="1" applyFill="1" applyBorder="1"/>
    <xf numFmtId="187" fontId="0" fillId="0" borderId="0" xfId="0" applyNumberFormat="1"/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3" fillId="2" borderId="1" xfId="0" applyFont="1" applyFill="1" applyBorder="1" applyAlignment="1">
      <alignment horizontal="center"/>
    </xf>
    <xf numFmtId="36" fontId="0" fillId="0" borderId="1" xfId="0" applyNumberFormat="1" applyBorder="1" quotePrefix="1"/>
    <xf numFmtId="181" fontId="0" fillId="0" borderId="1" xfId="0" applyNumberFormat="1" applyBorder="1" quotePrefix="1"/>
    <xf numFmtId="22" fontId="0" fillId="0" borderId="0" xfId="0" applyNumberFormat="1" quotePrefix="1"/>
    <xf numFmtId="3" fontId="0" fillId="0" borderId="1" xfId="0" applyNumberFormat="1" applyBorder="1" quotePrefix="1"/>
    <xf numFmtId="0" fontId="4" fillId="0" borderId="0" xfId="0" applyFont="1" quotePrefix="1"/>
    <xf numFmtId="178" fontId="0" fillId="0" borderId="1" xfId="0" applyNumberFormat="1" applyBorder="1" quotePrefix="1"/>
    <xf numFmtId="0" fontId="0" fillId="0" borderId="1" xfId="0" applyBorder="1" quotePrefix="1"/>
  </cellXfs>
  <cellStyles count="52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Гиперссылка 2" xfId="49"/>
    <cellStyle name="Обычный 2" xfId="50"/>
    <cellStyle name="Обычный 3" xfId="51"/>
  </cellStyles>
  <dxfs count="1">
    <dxf>
      <fill>
        <patternFill patternType="solid">
          <bgColor theme="5" tint="0.799981688894314"/>
        </patternFill>
      </fill>
    </dxf>
  </dxfs>
  <tableStyles count="0" defaultTableStyle="TableStyleMedium2" defaultPivotStyle="PivotStyleMedium9"/>
  <colors>
    <mruColors>
      <color rgb="00DDDDDD"/>
      <color rgb="00E2589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3</xdr:row>
      <xdr:rowOff>9415</xdr:rowOff>
    </xdr:from>
    <xdr:to>
      <xdr:col>3</xdr:col>
      <xdr:colOff>572218</xdr:colOff>
      <xdr:row>10</xdr:row>
      <xdr:rowOff>24020</xdr:rowOff>
    </xdr:to>
    <xdr:sp>
      <xdr:nvSpPr>
        <xdr:cNvPr id="3" name="Прямоугольник: скругленные углы 1"/>
        <xdr:cNvSpPr/>
      </xdr:nvSpPr>
      <xdr:spPr>
        <a:xfrm>
          <a:off x="0" y="632460"/>
          <a:ext cx="2533650" cy="129540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24055</xdr:colOff>
      <xdr:row>0</xdr:row>
      <xdr:rowOff>2199</xdr:rowOff>
    </xdr:from>
    <xdr:to>
      <xdr:col>0</xdr:col>
      <xdr:colOff>543792</xdr:colOff>
      <xdr:row>1</xdr:row>
      <xdr:rowOff>0</xdr:rowOff>
    </xdr:to>
    <xdr:sp>
      <xdr:nvSpPr>
        <xdr:cNvPr id="5" name="Скругленный прямоугольник 4"/>
        <xdr:cNvSpPr/>
      </xdr:nvSpPr>
      <xdr:spPr>
        <a:xfrm>
          <a:off x="23495" y="1905"/>
          <a:ext cx="520065" cy="179070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3</xdr:row>
      <xdr:rowOff>8891</xdr:rowOff>
    </xdr:from>
    <xdr:to>
      <xdr:col>11</xdr:col>
      <xdr:colOff>0</xdr:colOff>
      <xdr:row>7</xdr:row>
      <xdr:rowOff>17781</xdr:rowOff>
    </xdr:to>
    <xdr:sp>
      <xdr:nvSpPr>
        <xdr:cNvPr id="2" name="Прямоугольник: скругленные углы 1"/>
        <xdr:cNvSpPr/>
      </xdr:nvSpPr>
      <xdr:spPr>
        <a:xfrm>
          <a:off x="5421630" y="632460"/>
          <a:ext cx="3388360" cy="74676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26504</xdr:colOff>
      <xdr:row>0</xdr:row>
      <xdr:rowOff>6625</xdr:rowOff>
    </xdr:from>
    <xdr:to>
      <xdr:col>0</xdr:col>
      <xdr:colOff>546241</xdr:colOff>
      <xdr:row>1</xdr:row>
      <xdr:rowOff>2469</xdr:rowOff>
    </xdr:to>
    <xdr:sp>
      <xdr:nvSpPr>
        <xdr:cNvPr id="4" name="Скругленный прямоугольник 3"/>
        <xdr:cNvSpPr/>
      </xdr:nvSpPr>
      <xdr:spPr>
        <a:xfrm>
          <a:off x="26035" y="6350"/>
          <a:ext cx="520065" cy="176530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>
      <xdr:nvSpPr>
        <xdr:cNvPr id="2" name="TextBox 1"/>
        <xdr:cNvSpPr txBox="1"/>
      </xdr:nvSpPr>
      <xdr:spPr>
        <a:xfrm>
          <a:off x="4936490" y="819150"/>
          <a:ext cx="3317240" cy="56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  <a:endParaRPr lang="ru-RU" sz="1400" kern="1200" baseline="0">
            <a:solidFill>
              <a:schemeClr val="bg1">
                <a:lumMod val="50000"/>
              </a:schemeClr>
            </a:solidFill>
          </a:endParaRP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>
      <xdr:nvSpPr>
        <xdr:cNvPr id="3" name="TextBox 2"/>
        <xdr:cNvSpPr txBox="1"/>
      </xdr:nvSpPr>
      <xdr:spPr>
        <a:xfrm>
          <a:off x="4997450" y="1731010"/>
          <a:ext cx="3159125" cy="5657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  <a:endParaRPr lang="ru-RU" sz="1400" kern="1200" baseline="0">
            <a:solidFill>
              <a:schemeClr val="bg1">
                <a:lumMod val="50000"/>
              </a:schemeClr>
            </a:solidFill>
          </a:endParaRP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4" name="Скругленный прямоугольник 3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8</xdr:row>
      <xdr:rowOff>19685</xdr:rowOff>
    </xdr:from>
    <xdr:to>
      <xdr:col>10</xdr:col>
      <xdr:colOff>0</xdr:colOff>
      <xdr:row>16</xdr:row>
      <xdr:rowOff>34924</xdr:rowOff>
    </xdr:to>
    <xdr:sp>
      <xdr:nvSpPr>
        <xdr:cNvPr id="2" name="Прямоугольник: скругленные углы 1"/>
        <xdr:cNvSpPr/>
      </xdr:nvSpPr>
      <xdr:spPr>
        <a:xfrm>
          <a:off x="5229225" y="1562100"/>
          <a:ext cx="3451860" cy="1462405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0</xdr:colOff>
      <xdr:row>3</xdr:row>
      <xdr:rowOff>8890</xdr:rowOff>
    </xdr:from>
    <xdr:to>
      <xdr:col>10</xdr:col>
      <xdr:colOff>0</xdr:colOff>
      <xdr:row>12</xdr:row>
      <xdr:rowOff>71118</xdr:rowOff>
    </xdr:to>
    <xdr:sp>
      <xdr:nvSpPr>
        <xdr:cNvPr id="2" name="Прямоугольник: скругленные углы 2"/>
        <xdr:cNvSpPr/>
      </xdr:nvSpPr>
      <xdr:spPr>
        <a:xfrm>
          <a:off x="4615815" y="632460"/>
          <a:ext cx="3388360" cy="170434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  <a:endParaRPr lang="ru-RU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/>
        <xdr:cNvGrpSpPr/>
      </xdr:nvGrpSpPr>
      <xdr:grpSpPr>
        <a:xfrm>
          <a:off x="525780" y="2447290"/>
          <a:ext cx="1682115" cy="407670"/>
          <a:chOff x="525780" y="2457450"/>
          <a:chExt cx="1480185" cy="407670"/>
        </a:xfrm>
      </xdr:grpSpPr>
      <xdr:sp>
        <xdr:nvSpPr>
          <xdr:cNvPr id="3" name="TextBox 2"/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  <a:endParaRPr lang="ru-RU" sz="1400" i="0" kern="1200">
              <a:solidFill>
                <a:srgbClr val="FF6E40"/>
              </a:solidFill>
            </a:endParaRPr>
          </a:p>
        </xdr:txBody>
      </xdr:sp>
      <xdr:sp>
        <xdr:nvSpPr>
          <xdr:cNvPr id="4" name="TextBox 3"/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/>
        <xdr:cNvGrpSpPr/>
      </xdr:nvGrpSpPr>
      <xdr:grpSpPr>
        <a:xfrm>
          <a:off x="3045460" y="2447290"/>
          <a:ext cx="1624965" cy="657225"/>
          <a:chOff x="2674620" y="2457450"/>
          <a:chExt cx="1447800" cy="657225"/>
        </a:xfrm>
      </xdr:grpSpPr>
      <xdr:sp>
        <xdr:nvSpPr>
          <xdr:cNvPr id="6" name="TextBox 5"/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  <a:endParaRPr lang="ru-RU" sz="1400" i="0" kern="1200">
              <a:solidFill>
                <a:srgbClr val="FF6E40"/>
              </a:solidFill>
            </a:endParaRPr>
          </a:p>
        </xdr:txBody>
      </xdr:sp>
      <xdr:sp>
        <xdr:nvSpPr>
          <xdr:cNvPr id="7" name="TextBox 6"/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/>
        <xdr:cNvGrpSpPr/>
      </xdr:nvGrpSpPr>
      <xdr:grpSpPr>
        <a:xfrm>
          <a:off x="5358765" y="999490"/>
          <a:ext cx="1991360" cy="672465"/>
          <a:chOff x="4733925" y="1009650"/>
          <a:chExt cx="1648778" cy="672465"/>
        </a:xfrm>
      </xdr:grpSpPr>
      <xdr:sp>
        <xdr:nvSpPr>
          <xdr:cNvPr id="9" name="TextBox 8"/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  <a:endParaRPr lang="ru-RU" sz="1400" i="0" kern="1200">
              <a:solidFill>
                <a:srgbClr val="FF6E40"/>
              </a:solidFill>
            </a:endParaRPr>
          </a:p>
        </xdr:txBody>
      </xdr:sp>
      <xdr:sp>
        <xdr:nvSpPr>
          <xdr:cNvPr id="10" name="TextBox 9"/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>
      <xdr:nvSpPr>
        <xdr:cNvPr id="11" name="TextBox 10"/>
        <xdr:cNvSpPr txBox="1"/>
      </xdr:nvSpPr>
      <xdr:spPr>
        <a:xfrm>
          <a:off x="5267960" y="1609090"/>
          <a:ext cx="4424045" cy="1426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12" name="Скругленный прямоугольник 1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3</xdr:row>
      <xdr:rowOff>8890</xdr:rowOff>
    </xdr:from>
    <xdr:to>
      <xdr:col>11</xdr:col>
      <xdr:colOff>19049</xdr:colOff>
      <xdr:row>9</xdr:row>
      <xdr:rowOff>181611</xdr:rowOff>
    </xdr:to>
    <xdr:sp>
      <xdr:nvSpPr>
        <xdr:cNvPr id="2" name="Прямоугольник: скругленные углы 1"/>
        <xdr:cNvSpPr/>
      </xdr:nvSpPr>
      <xdr:spPr>
        <a:xfrm>
          <a:off x="4615815" y="632460"/>
          <a:ext cx="3247390" cy="131445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0</xdr:colOff>
      <xdr:row>3</xdr:row>
      <xdr:rowOff>3810</xdr:rowOff>
    </xdr:from>
    <xdr:to>
      <xdr:col>9</xdr:col>
      <xdr:colOff>337184</xdr:colOff>
      <xdr:row>10</xdr:row>
      <xdr:rowOff>42228</xdr:rowOff>
    </xdr:to>
    <xdr:sp>
      <xdr:nvSpPr>
        <xdr:cNvPr id="2" name="Прямоугольник: скругленные углы 1"/>
        <xdr:cNvSpPr/>
      </xdr:nvSpPr>
      <xdr:spPr>
        <a:xfrm>
          <a:off x="4759960" y="632460"/>
          <a:ext cx="3238500" cy="1318895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2" name="Скругленный прямоугольник 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594360</xdr:colOff>
      <xdr:row>3</xdr:row>
      <xdr:rowOff>8890</xdr:rowOff>
    </xdr:from>
    <xdr:to>
      <xdr:col>12</xdr:col>
      <xdr:colOff>3809</xdr:colOff>
      <xdr:row>9</xdr:row>
      <xdr:rowOff>181611</xdr:rowOff>
    </xdr:to>
    <xdr:sp>
      <xdr:nvSpPr>
        <xdr:cNvPr id="2" name="Прямоугольник: скругленные углы 1"/>
        <xdr:cNvSpPr/>
      </xdr:nvSpPr>
      <xdr:spPr>
        <a:xfrm>
          <a:off x="5026660" y="632460"/>
          <a:ext cx="3283585" cy="131445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/>
        <xdr:cNvGrpSpPr/>
      </xdr:nvGrpSpPr>
      <xdr:grpSpPr>
        <a:xfrm>
          <a:off x="461645" y="2838450"/>
          <a:ext cx="5200650" cy="935355"/>
          <a:chOff x="693420" y="2904534"/>
          <a:chExt cx="4495800" cy="950135"/>
        </a:xfrm>
      </xdr:grpSpPr>
      <xdr:sp>
        <xdr:nvSpPr>
          <xdr:cNvPr id="3" name="TextBox 2"/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>
        <xdr:nvSpPr>
          <xdr:cNvPr id="4" name="TextBox 3"/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>
        <xdr:nvCxnSpPr>
          <xdr:cNvPr id="5" name="Прямая со стрелкой 4"/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/>
        <xdr:cNvGrpSpPr/>
      </xdr:nvGrpSpPr>
      <xdr:grpSpPr>
        <a:xfrm>
          <a:off x="6152515" y="1067435"/>
          <a:ext cx="1316355" cy="1023620"/>
          <a:chOff x="5433060" y="1057603"/>
          <a:chExt cx="1150883" cy="1041576"/>
        </a:xfrm>
      </xdr:grpSpPr>
      <xdr:sp>
        <xdr:nvSpPr>
          <xdr:cNvPr id="7" name="TextBox 6"/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>
        <xdr:nvCxnSpPr>
          <xdr:cNvPr id="8" name="Прямая со стрелкой 7"/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/>
        <xdr:cNvGrpSpPr/>
      </xdr:nvGrpSpPr>
      <xdr:grpSpPr>
        <a:xfrm>
          <a:off x="7505700" y="1078865"/>
          <a:ext cx="1451610" cy="1055370"/>
          <a:chOff x="6599183" y="1057603"/>
          <a:chExt cx="1274116" cy="1073107"/>
        </a:xfrm>
      </xdr:grpSpPr>
      <xdr:sp>
        <xdr:nvSpPr>
          <xdr:cNvPr id="10" name="TextBox 9"/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>
        <xdr:nvCxnSpPr>
          <xdr:cNvPr id="11" name="Прямая со стрелкой 10"/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12" name="Скругленный прямоугольник 11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3</xdr:row>
      <xdr:rowOff>8890</xdr:rowOff>
    </xdr:from>
    <xdr:to>
      <xdr:col>11</xdr:col>
      <xdr:colOff>36194</xdr:colOff>
      <xdr:row>10</xdr:row>
      <xdr:rowOff>47309</xdr:rowOff>
    </xdr:to>
    <xdr:sp>
      <xdr:nvSpPr>
        <xdr:cNvPr id="2" name="Прямоугольник: скругленные углы 1"/>
        <xdr:cNvSpPr/>
      </xdr:nvSpPr>
      <xdr:spPr>
        <a:xfrm>
          <a:off x="7135495" y="632460"/>
          <a:ext cx="3368040" cy="1318895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>
      <xdr:nvSpPr>
        <xdr:cNvPr id="2" name="TextBox 1"/>
        <xdr:cNvSpPr txBox="1"/>
      </xdr:nvSpPr>
      <xdr:spPr>
        <a:xfrm>
          <a:off x="6443980" y="447040"/>
          <a:ext cx="3009900" cy="5664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3" name="Скругленный прямоугольник 2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0</xdr:colOff>
      <xdr:row>3</xdr:row>
      <xdr:rowOff>8890</xdr:rowOff>
    </xdr:from>
    <xdr:to>
      <xdr:col>9</xdr:col>
      <xdr:colOff>160413</xdr:colOff>
      <xdr:row>9</xdr:row>
      <xdr:rowOff>189800</xdr:rowOff>
    </xdr:to>
    <xdr:sp>
      <xdr:nvSpPr>
        <xdr:cNvPr id="2" name="Прямоугольник: скругленные углы 1"/>
        <xdr:cNvSpPr/>
      </xdr:nvSpPr>
      <xdr:spPr>
        <a:xfrm>
          <a:off x="6584950" y="632460"/>
          <a:ext cx="3261360" cy="135001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  <a:endParaRPr lang="ru-RU" sz="1100" b="1">
            <a:solidFill>
              <a:srgbClr val="FF0000"/>
            </a:solidFill>
          </a:endParaRP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4" name="Скругленный прямоугольник 3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>
      <xdr:nvSpPr>
        <xdr:cNvPr id="2" name="TextBox 1"/>
        <xdr:cNvSpPr txBox="1"/>
      </xdr:nvSpPr>
      <xdr:spPr>
        <a:xfrm>
          <a:off x="2479675" y="2277110"/>
          <a:ext cx="2149475" cy="5295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>
      <xdr:nvCxnSpPr>
        <xdr:cNvPr id="3" name="Прямая со стрелкой 2"/>
        <xdr:cNvCxnSpPr/>
      </xdr:nvCxnSpPr>
      <xdr:spPr>
        <a:xfrm flipH="1">
          <a:off x="2358390" y="1642110"/>
          <a:ext cx="62738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>
      <xdr:nvSpPr>
        <xdr:cNvPr id="4" name="Скругленный прямоугольник 3"/>
        <xdr:cNvSpPr/>
      </xdr:nvSpPr>
      <xdr:spPr>
        <a:xfrm>
          <a:off x="0" y="0"/>
          <a:ext cx="519430" cy="180975"/>
        </a:xfrm>
        <a:prstGeom prst="roundRect">
          <a:avLst/>
        </a:prstGeom>
        <a:blipFill dpi="0" rotWithShape="1">
          <a:blip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5"/>
  <sheetViews>
    <sheetView zoomScale="126" zoomScaleNormal="126" workbookViewId="0">
      <selection activeCell="I11" sqref="I11"/>
    </sheetView>
  </sheetViews>
  <sheetFormatPr defaultColWidth="9" defaultRowHeight="14.25"/>
  <cols>
    <col min="1" max="1" width="8" customWidth="1"/>
    <col min="2" max="2" width="10.3362831858407" customWidth="1"/>
    <col min="9" max="9" width="14" customWidth="1"/>
    <col min="15" max="15" width="9.10619469026549" customWidth="1"/>
  </cols>
  <sheetData>
    <row r="1" spans="2:9">
      <c r="B1" s="86" t="s">
        <v>0</v>
      </c>
    </row>
    <row r="2" ht="20.6" spans="2:9">
      <c r="B2" s="87"/>
      <c r="F2" s="2" t="s">
        <v>1</v>
      </c>
    </row>
    <row r="3" spans="2:9">
      <c r="I3" s="8"/>
    </row>
    <row r="4" ht="15.35" spans="2:9">
      <c r="F4" s="88" t="s">
        <v>2</v>
      </c>
      <c r="G4" s="88" t="s">
        <v>3</v>
      </c>
      <c r="H4" s="88" t="s">
        <v>4</v>
      </c>
      <c r="I4" s="88" t="s">
        <v>5</v>
      </c>
    </row>
    <row r="5" spans="2:9">
      <c r="F5" s="9">
        <v>1999</v>
      </c>
      <c r="G5" s="9">
        <v>1</v>
      </c>
      <c r="H5" s="9">
        <v>1</v>
      </c>
      <c r="I5" s="52">
        <f>DATE(F5,G5,H5)</f>
        <v>36161</v>
      </c>
    </row>
    <row r="6" spans="2:9">
      <c r="F6" s="9">
        <v>2000</v>
      </c>
      <c r="G6" s="9">
        <v>1</v>
      </c>
      <c r="H6" s="9">
        <v>1</v>
      </c>
      <c r="I6" s="52">
        <f t="shared" ref="I6:I15" si="0">DATE(F6,G6,H6)</f>
        <v>36526</v>
      </c>
    </row>
    <row r="7" spans="2:9">
      <c r="F7" s="9">
        <v>2005</v>
      </c>
      <c r="G7" s="9">
        <v>2</v>
      </c>
      <c r="H7" s="9">
        <v>12</v>
      </c>
      <c r="I7" s="52">
        <f t="shared" si="0"/>
        <v>38395</v>
      </c>
    </row>
    <row r="8" spans="2:9">
      <c r="F8" s="9">
        <v>2010</v>
      </c>
      <c r="G8" s="9">
        <v>10</v>
      </c>
      <c r="H8" s="9">
        <v>22</v>
      </c>
      <c r="I8" s="52">
        <f t="shared" si="0"/>
        <v>40473</v>
      </c>
    </row>
    <row r="9" spans="2:9">
      <c r="F9" s="9">
        <v>2018</v>
      </c>
      <c r="G9" s="9">
        <v>6</v>
      </c>
      <c r="H9" s="9">
        <v>18</v>
      </c>
      <c r="I9" s="52">
        <f t="shared" si="0"/>
        <v>43269</v>
      </c>
    </row>
    <row r="10" spans="2:9">
      <c r="F10" s="9">
        <v>2022</v>
      </c>
      <c r="G10" s="9">
        <v>8</v>
      </c>
      <c r="H10" s="9">
        <v>15</v>
      </c>
      <c r="I10" s="52">
        <f t="shared" si="0"/>
        <v>44788</v>
      </c>
    </row>
    <row r="11" spans="2:9">
      <c r="F11" s="9">
        <v>2026</v>
      </c>
      <c r="G11" s="9">
        <v>9</v>
      </c>
      <c r="H11" s="9">
        <v>4</v>
      </c>
      <c r="I11" s="52">
        <f t="shared" si="0"/>
        <v>46269</v>
      </c>
    </row>
    <row r="12" spans="2:9">
      <c r="F12" s="9">
        <v>2030</v>
      </c>
      <c r="G12" s="9">
        <v>12</v>
      </c>
      <c r="H12" s="9">
        <v>30</v>
      </c>
      <c r="I12" s="52">
        <f t="shared" si="0"/>
        <v>47847</v>
      </c>
    </row>
    <row r="13" spans="2:9">
      <c r="F13" s="9">
        <v>2045</v>
      </c>
      <c r="G13" s="9">
        <v>3</v>
      </c>
      <c r="H13" s="9">
        <v>28</v>
      </c>
      <c r="I13" s="52">
        <f t="shared" si="0"/>
        <v>53049</v>
      </c>
    </row>
    <row r="14" spans="2:9">
      <c r="F14" s="9">
        <v>2050</v>
      </c>
      <c r="G14" s="9">
        <v>7</v>
      </c>
      <c r="H14" s="9">
        <v>3</v>
      </c>
      <c r="I14" s="52">
        <f t="shared" si="0"/>
        <v>54972</v>
      </c>
    </row>
    <row r="15" spans="2:9">
      <c r="F15" s="9">
        <v>2099</v>
      </c>
      <c r="G15" s="9">
        <v>11</v>
      </c>
      <c r="H15" s="9">
        <v>10</v>
      </c>
      <c r="I15" s="52">
        <f t="shared" si="0"/>
        <v>72999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4"/>
  <sheetViews>
    <sheetView zoomScale="115" zoomScaleNormal="115" workbookViewId="0">
      <selection activeCell="E5" sqref="E5"/>
    </sheetView>
  </sheetViews>
  <sheetFormatPr defaultColWidth="9" defaultRowHeight="14.25" outlineLevelCol="7"/>
  <cols>
    <col min="2" max="2" width="14" customWidth="1"/>
    <col min="3" max="5" width="13.7787610619469" customWidth="1"/>
    <col min="6" max="6" width="11.2212389380531" customWidth="1"/>
    <col min="8" max="8" width="11.2212389380531" customWidth="1"/>
  </cols>
  <sheetData>
    <row r="2" ht="20.6" spans="2:8">
      <c r="B2" s="2" t="s">
        <v>6</v>
      </c>
      <c r="C2" s="34" t="s">
        <v>7</v>
      </c>
      <c r="D2" s="35" t="s">
        <v>8</v>
      </c>
    </row>
    <row r="3" spans="2:8">
      <c r="C3" s="8"/>
      <c r="D3" s="8"/>
      <c r="E3" s="8"/>
    </row>
    <row r="4" ht="15.35" spans="2:8">
      <c r="B4" s="3" t="s">
        <v>9</v>
      </c>
      <c r="C4" s="3" t="s">
        <v>4</v>
      </c>
      <c r="D4" s="3" t="s">
        <v>3</v>
      </c>
      <c r="E4" s="3" t="s">
        <v>2</v>
      </c>
    </row>
    <row r="5" spans="2:8">
      <c r="B5" s="32">
        <v>27670</v>
      </c>
      <c r="C5" s="29">
        <f>DAY(B5)</f>
        <v>3</v>
      </c>
      <c r="D5" s="29">
        <f>MONTH(B5)</f>
        <v>10</v>
      </c>
      <c r="E5" s="29">
        <f>YEAR(B5)</f>
        <v>1975</v>
      </c>
      <c r="H5" s="11"/>
    </row>
    <row r="6" spans="2:8">
      <c r="B6" s="32">
        <v>33108</v>
      </c>
      <c r="C6" s="29">
        <f t="shared" ref="C6:C14" si="0">DAY(B6)</f>
        <v>23</v>
      </c>
      <c r="D6" s="29">
        <f t="shared" ref="D6:D14" si="1">MONTH(B6)</f>
        <v>8</v>
      </c>
      <c r="E6" s="29">
        <f t="shared" ref="E6:E14" si="2">YEAR(B6)</f>
        <v>1990</v>
      </c>
      <c r="H6" s="11"/>
    </row>
    <row r="7" spans="2:8">
      <c r="B7" s="32">
        <v>36526</v>
      </c>
      <c r="C7" s="29">
        <f t="shared" si="0"/>
        <v>1</v>
      </c>
      <c r="D7" s="29">
        <f t="shared" si="1"/>
        <v>1</v>
      </c>
      <c r="E7" s="29">
        <f t="shared" si="2"/>
        <v>2000</v>
      </c>
      <c r="H7" s="11"/>
    </row>
    <row r="8" spans="2:8">
      <c r="B8" s="32">
        <v>45285</v>
      </c>
      <c r="C8" s="29">
        <f t="shared" si="0"/>
        <v>25</v>
      </c>
      <c r="D8" s="29">
        <f t="shared" si="1"/>
        <v>12</v>
      </c>
      <c r="E8" s="29">
        <f t="shared" si="2"/>
        <v>2023</v>
      </c>
      <c r="H8" s="11"/>
    </row>
    <row r="9" spans="2:8">
      <c r="B9" s="32">
        <v>45823</v>
      </c>
      <c r="C9" s="29">
        <f t="shared" si="0"/>
        <v>15</v>
      </c>
      <c r="D9" s="29">
        <f t="shared" si="1"/>
        <v>6</v>
      </c>
      <c r="E9" s="29">
        <f t="shared" si="2"/>
        <v>2025</v>
      </c>
      <c r="H9" s="11"/>
    </row>
    <row r="10" spans="2:8">
      <c r="B10" s="32">
        <v>46143</v>
      </c>
      <c r="C10" s="29">
        <f t="shared" si="0"/>
        <v>1</v>
      </c>
      <c r="D10" s="29">
        <f t="shared" si="1"/>
        <v>5</v>
      </c>
      <c r="E10" s="29">
        <f t="shared" si="2"/>
        <v>2026</v>
      </c>
      <c r="H10" s="11"/>
    </row>
    <row r="11" spans="2:8">
      <c r="B11" s="32">
        <v>47027</v>
      </c>
      <c r="C11" s="29">
        <f t="shared" si="0"/>
        <v>1</v>
      </c>
      <c r="D11" s="29">
        <f t="shared" si="1"/>
        <v>10</v>
      </c>
      <c r="E11" s="29">
        <f t="shared" si="2"/>
        <v>2028</v>
      </c>
      <c r="H11" s="11"/>
    </row>
    <row r="12" spans="2:8">
      <c r="B12" s="32">
        <v>45657</v>
      </c>
      <c r="C12" s="29">
        <f t="shared" si="0"/>
        <v>31</v>
      </c>
      <c r="D12" s="29">
        <f t="shared" si="1"/>
        <v>12</v>
      </c>
      <c r="E12" s="29">
        <f t="shared" si="2"/>
        <v>2024</v>
      </c>
      <c r="H12" s="11"/>
    </row>
    <row r="13" spans="2:8">
      <c r="B13" s="32">
        <v>45350</v>
      </c>
      <c r="C13" s="29">
        <f t="shared" si="0"/>
        <v>28</v>
      </c>
      <c r="D13" s="29">
        <f t="shared" si="1"/>
        <v>2</v>
      </c>
      <c r="E13" s="29">
        <f t="shared" si="2"/>
        <v>2024</v>
      </c>
      <c r="H13" s="11"/>
    </row>
    <row r="14" spans="2:8">
      <c r="B14" s="32">
        <v>47738</v>
      </c>
      <c r="C14" s="29">
        <f t="shared" si="0"/>
        <v>12</v>
      </c>
      <c r="D14" s="29">
        <f t="shared" si="1"/>
        <v>9</v>
      </c>
      <c r="E14" s="29">
        <f t="shared" si="2"/>
        <v>2030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2"/>
  <sheetViews>
    <sheetView topLeftCell="A5" workbookViewId="0">
      <selection activeCell="B21" sqref="B21"/>
    </sheetView>
  </sheetViews>
  <sheetFormatPr defaultColWidth="9" defaultRowHeight="14.25" outlineLevelCol="7"/>
  <cols>
    <col min="2" max="2" width="19.1238938053097" customWidth="1"/>
    <col min="3" max="3" width="34.1061946902655" customWidth="1"/>
    <col min="6" max="6" width="11.2212389380531" customWidth="1"/>
    <col min="8" max="8" width="11.2212389380531" customWidth="1"/>
  </cols>
  <sheetData>
    <row r="2" ht="20.6" spans="2:8">
      <c r="B2" s="2" t="s">
        <v>10</v>
      </c>
    </row>
    <row r="4" ht="15.35" spans="2:8">
      <c r="B4" s="3" t="s">
        <v>9</v>
      </c>
      <c r="C4" s="3" t="s">
        <v>11</v>
      </c>
    </row>
    <row r="5" spans="2:8">
      <c r="B5" s="52">
        <f ca="1">TODAY()</f>
        <v>46276</v>
      </c>
      <c r="C5" s="89" t="s">
        <v>12</v>
      </c>
      <c r="D5" s="8" t="s">
        <v>13</v>
      </c>
      <c r="H5" s="11"/>
    </row>
    <row r="6" spans="2:8">
      <c r="B6" s="52">
        <f ca="1">TODAY()-7</f>
        <v>46269</v>
      </c>
      <c r="C6" s="89" t="s">
        <v>14</v>
      </c>
      <c r="D6" s="8" t="s">
        <v>15</v>
      </c>
      <c r="H6" s="11"/>
    </row>
    <row r="7" spans="2:8">
      <c r="B7" s="52">
        <f ca="1">TODAY()+7</f>
        <v>46283</v>
      </c>
      <c r="C7" s="89" t="s">
        <v>16</v>
      </c>
      <c r="D7" s="8" t="s">
        <v>17</v>
      </c>
      <c r="H7" s="11"/>
    </row>
    <row r="8" spans="2:8">
      <c r="B8" s="52">
        <f ca="1">TODAY()+90</f>
        <v>46366</v>
      </c>
      <c r="C8" s="89" t="s">
        <v>18</v>
      </c>
      <c r="D8" s="8" t="s">
        <v>19</v>
      </c>
      <c r="H8" s="11"/>
    </row>
    <row r="9" spans="2:8">
      <c r="B9" s="52">
        <f ca="1">EDATE(TODAY(),3)</f>
        <v>46367</v>
      </c>
      <c r="C9" s="89" t="s">
        <v>20</v>
      </c>
      <c r="D9" s="8" t="s">
        <v>21</v>
      </c>
      <c r="H9" s="11"/>
    </row>
    <row r="10" spans="2:8">
      <c r="B10" s="52">
        <f ca="1">EDATE(TODAY(),12)</f>
        <v>46641</v>
      </c>
      <c r="C10" s="89" t="s">
        <v>22</v>
      </c>
      <c r="D10" s="8" t="s">
        <v>23</v>
      </c>
      <c r="H10" s="11"/>
    </row>
    <row r="11" spans="2:8">
      <c r="B11" s="52">
        <f ca="1">EDATE(TODAY(),-12)</f>
        <v>45911</v>
      </c>
      <c r="C11" s="89" t="s">
        <v>24</v>
      </c>
      <c r="D11" s="8" t="s">
        <v>25</v>
      </c>
      <c r="H11" s="11"/>
    </row>
    <row r="12" spans="2:8">
      <c r="B12" s="52">
        <f ca="1">EOMONTH(TODAY(),0)</f>
        <v>46295</v>
      </c>
      <c r="C12" s="89" t="s">
        <v>26</v>
      </c>
      <c r="D12" s="8" t="s">
        <v>27</v>
      </c>
      <c r="H12" s="11"/>
    </row>
    <row r="13" spans="2:8">
      <c r="B13" s="52">
        <f ca="1">EOMONTH(TODAY(),-1)+1</f>
        <v>46266</v>
      </c>
      <c r="C13" s="89" t="s">
        <v>28</v>
      </c>
      <c r="D13" s="8" t="s">
        <v>29</v>
      </c>
      <c r="H13" s="11"/>
    </row>
    <row r="14" spans="2:8">
      <c r="B14" s="83">
        <f ca="1">TODAY()+TIME(18,0,0)</f>
        <v>46276.75</v>
      </c>
      <c r="C14" s="90" t="s">
        <v>30</v>
      </c>
      <c r="D14" s="8" t="s">
        <v>31</v>
      </c>
    </row>
    <row r="15" spans="2:8">
      <c r="B15" s="83">
        <f ca="1">TODAY()+1+TIME(12,0,0)</f>
        <v>46277.5</v>
      </c>
      <c r="C15" s="90" t="s">
        <v>32</v>
      </c>
      <c r="D15" s="8" t="s">
        <v>33</v>
      </c>
    </row>
    <row r="19" ht="20.6" spans="2:4">
      <c r="B19" s="2" t="s">
        <v>34</v>
      </c>
    </row>
    <row r="20" ht="15.35" spans="2:4">
      <c r="B20" s="3" t="s">
        <v>35</v>
      </c>
      <c r="C20" s="3" t="s">
        <v>11</v>
      </c>
    </row>
    <row r="21" spans="2:4">
      <c r="B21" s="84">
        <f ca="1">NOW()</f>
        <v>46276.0302083333</v>
      </c>
      <c r="C21" s="91" t="s">
        <v>36</v>
      </c>
      <c r="D21" t="s">
        <v>37</v>
      </c>
    </row>
    <row r="22" spans="2:4">
      <c r="C22" s="85"/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6"/>
  <sheetViews>
    <sheetView zoomScale="145" zoomScaleNormal="145" topLeftCell="A2" workbookViewId="0">
      <selection activeCell="B15" sqref="B15"/>
    </sheetView>
  </sheetViews>
  <sheetFormatPr defaultColWidth="9" defaultRowHeight="14.25"/>
  <cols>
    <col min="2" max="2" width="13.1061946902655" customWidth="1"/>
    <col min="3" max="3" width="12.4424778761062" customWidth="1"/>
    <col min="4" max="4" width="8" customWidth="1"/>
    <col min="5" max="5" width="14.5575221238938" customWidth="1"/>
    <col min="8" max="8" width="11.2212389380531" customWidth="1"/>
    <col min="10" max="10" width="15.2212389380531" customWidth="1"/>
  </cols>
  <sheetData>
    <row r="2" ht="20.6" spans="2:10">
      <c r="B2" s="2" t="s">
        <v>38</v>
      </c>
    </row>
    <row r="4" ht="15.35" spans="2:10">
      <c r="B4" s="3" t="s">
        <v>9</v>
      </c>
      <c r="C4" s="3" t="s">
        <v>39</v>
      </c>
      <c r="E4" s="3" t="s">
        <v>5</v>
      </c>
      <c r="J4" s="82"/>
    </row>
    <row r="5" spans="2:10">
      <c r="B5" s="32">
        <v>46784</v>
      </c>
      <c r="C5" s="9">
        <v>1</v>
      </c>
      <c r="E5" s="52">
        <f>EDATE(B5,C5)</f>
        <v>46813</v>
      </c>
      <c r="F5" s="8" t="s">
        <v>40</v>
      </c>
      <c r="J5" s="11"/>
    </row>
    <row r="6" spans="2:10">
      <c r="B6" s="32">
        <v>46784</v>
      </c>
      <c r="C6" s="9">
        <v>2</v>
      </c>
      <c r="E6" s="52">
        <f t="shared" ref="E6:E16" si="0">EDATE(B6,C6)</f>
        <v>46844</v>
      </c>
      <c r="F6" s="8" t="s">
        <v>41</v>
      </c>
      <c r="J6" s="11"/>
    </row>
    <row r="7" spans="2:10">
      <c r="B7" s="32">
        <v>46784</v>
      </c>
      <c r="C7" s="9">
        <v>3</v>
      </c>
      <c r="E7" s="52">
        <f t="shared" si="0"/>
        <v>46874</v>
      </c>
      <c r="F7" s="8" t="s">
        <v>42</v>
      </c>
      <c r="J7" s="11"/>
    </row>
    <row r="8" spans="2:10">
      <c r="B8" s="32">
        <v>46784</v>
      </c>
      <c r="C8" s="9">
        <v>-1</v>
      </c>
      <c r="E8" s="52">
        <f t="shared" si="0"/>
        <v>46753</v>
      </c>
      <c r="F8" s="8" t="s">
        <v>43</v>
      </c>
      <c r="J8" s="11"/>
    </row>
    <row r="9" spans="2:10">
      <c r="B9" s="32">
        <v>46784</v>
      </c>
      <c r="C9" s="9">
        <v>-2</v>
      </c>
      <c r="E9" s="52">
        <f t="shared" si="0"/>
        <v>46722</v>
      </c>
      <c r="F9" s="8" t="s">
        <v>44</v>
      </c>
      <c r="J9" s="11"/>
    </row>
    <row r="10" spans="2:10">
      <c r="B10" s="32">
        <v>46784</v>
      </c>
      <c r="C10" s="9">
        <v>-3</v>
      </c>
      <c r="E10" s="52">
        <f t="shared" si="0"/>
        <v>46692</v>
      </c>
      <c r="F10" s="8" t="s">
        <v>45</v>
      </c>
      <c r="J10" s="11"/>
    </row>
    <row r="11" spans="2:10">
      <c r="B11" s="32">
        <v>46783</v>
      </c>
      <c r="C11" s="9">
        <v>1</v>
      </c>
      <c r="E11" s="52">
        <f t="shared" si="0"/>
        <v>46812</v>
      </c>
      <c r="F11" s="8" t="s">
        <v>46</v>
      </c>
      <c r="J11" s="11"/>
    </row>
    <row r="12" spans="2:10">
      <c r="B12" s="32">
        <v>46827</v>
      </c>
      <c r="C12" s="9">
        <v>1.5</v>
      </c>
      <c r="E12" s="52">
        <f t="shared" si="0"/>
        <v>46858</v>
      </c>
      <c r="F12" s="8" t="s">
        <v>47</v>
      </c>
      <c r="J12" s="11"/>
    </row>
    <row r="13" spans="2:10">
      <c r="B13" s="32">
        <v>46827</v>
      </c>
      <c r="C13" s="9">
        <v>12</v>
      </c>
      <c r="E13" s="52">
        <f t="shared" si="0"/>
        <v>47192</v>
      </c>
      <c r="F13" s="8" t="s">
        <v>48</v>
      </c>
      <c r="J13" s="11"/>
    </row>
    <row r="14" spans="2:10">
      <c r="B14" s="32">
        <v>46827</v>
      </c>
      <c r="C14" s="9">
        <v>24</v>
      </c>
      <c r="E14" s="52">
        <f t="shared" si="0"/>
        <v>47557</v>
      </c>
      <c r="F14" s="8" t="s">
        <v>49</v>
      </c>
    </row>
    <row r="15" spans="2:10">
      <c r="B15" s="32">
        <v>46905</v>
      </c>
      <c r="C15" s="9">
        <v>120</v>
      </c>
      <c r="E15" s="52">
        <f t="shared" si="0"/>
        <v>50557</v>
      </c>
      <c r="F15" s="8" t="s">
        <v>50</v>
      </c>
    </row>
    <row r="16" spans="2:10">
      <c r="B16" s="32">
        <v>47011</v>
      </c>
      <c r="C16" s="9">
        <v>-60</v>
      </c>
      <c r="E16" s="52">
        <f t="shared" si="0"/>
        <v>45184</v>
      </c>
      <c r="F16" s="8" t="s">
        <v>51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4"/>
  <sheetViews>
    <sheetView workbookViewId="0">
      <selection activeCell="I17" sqref="I17"/>
    </sheetView>
  </sheetViews>
  <sheetFormatPr defaultColWidth="9" defaultRowHeight="14.25"/>
  <cols>
    <col min="1" max="1" width="9.10619469026549" customWidth="1"/>
    <col min="2" max="2" width="14" customWidth="1"/>
    <col min="3" max="3" width="11.5575221238938" customWidth="1"/>
    <col min="4" max="4" width="14.2212389380531" customWidth="1"/>
    <col min="5" max="5" width="15.8849557522124" customWidth="1"/>
    <col min="6" max="6" width="16.6637168141593" customWidth="1"/>
    <col min="7" max="7" width="13.3362831858407" customWidth="1"/>
    <col min="9" max="9" width="11.2212389380531" customWidth="1"/>
  </cols>
  <sheetData>
    <row r="1" spans="2:10">
      <c r="J1" s="1"/>
    </row>
    <row r="2" ht="20.6" spans="2:10">
      <c r="B2" s="2" t="s">
        <v>52</v>
      </c>
      <c r="C2" s="80" t="s">
        <v>53</v>
      </c>
      <c r="E2" s="26" t="s">
        <v>54</v>
      </c>
      <c r="F2" s="34" t="s">
        <v>55</v>
      </c>
    </row>
    <row r="3" spans="2:10">
      <c r="D3" s="8"/>
      <c r="E3" s="8"/>
      <c r="F3" s="8"/>
    </row>
    <row r="4" ht="15.35" spans="2:10">
      <c r="B4" s="3" t="s">
        <v>56</v>
      </c>
      <c r="C4" s="3" t="s">
        <v>57</v>
      </c>
      <c r="D4" s="3" t="s">
        <v>52</v>
      </c>
      <c r="E4" s="3" t="s">
        <v>53</v>
      </c>
      <c r="F4" s="3" t="s">
        <v>54</v>
      </c>
      <c r="G4" s="3" t="s">
        <v>55</v>
      </c>
    </row>
    <row r="5" spans="2:10">
      <c r="B5" s="9">
        <v>6.6445</v>
      </c>
      <c r="C5" s="9">
        <v>0</v>
      </c>
      <c r="D5" s="42">
        <f>ROUND(B5,C5)</f>
        <v>7</v>
      </c>
      <c r="E5" s="42">
        <f>ROUNDUP(B5,C5)</f>
        <v>7</v>
      </c>
      <c r="F5" s="42">
        <f>ROUNDDOWN(B5,C5)</f>
        <v>6</v>
      </c>
      <c r="G5" s="42">
        <f>INT(B5)</f>
        <v>6</v>
      </c>
      <c r="H5" s="8" t="s">
        <v>58</v>
      </c>
      <c r="I5" s="11"/>
    </row>
    <row r="6" spans="2:10">
      <c r="B6" s="9">
        <v>3.1926</v>
      </c>
      <c r="C6" s="9">
        <v>1</v>
      </c>
      <c r="D6" s="42">
        <f t="shared" ref="D6:D14" si="0">ROUND(B6,C6)</f>
        <v>3.2</v>
      </c>
      <c r="E6" s="42">
        <f t="shared" ref="E6:E14" si="1">ROUNDUP(B6,C6)</f>
        <v>3.2</v>
      </c>
      <c r="F6" s="42">
        <f t="shared" ref="F6:F14" si="2">ROUNDDOWN(B6,C6)</f>
        <v>3.1</v>
      </c>
      <c r="G6" s="42">
        <f t="shared" ref="G6:G14" si="3">INT(B6)</f>
        <v>3</v>
      </c>
      <c r="H6" s="8" t="s">
        <v>59</v>
      </c>
    </row>
    <row r="7" spans="2:10">
      <c r="B7" s="9">
        <v>3.7498</v>
      </c>
      <c r="C7" s="9">
        <v>2</v>
      </c>
      <c r="D7" s="42">
        <f t="shared" si="0"/>
        <v>3.75</v>
      </c>
      <c r="E7" s="42">
        <f t="shared" si="1"/>
        <v>3.75</v>
      </c>
      <c r="F7" s="42">
        <f t="shared" si="2"/>
        <v>3.74</v>
      </c>
      <c r="G7" s="42">
        <f t="shared" si="3"/>
        <v>3</v>
      </c>
      <c r="H7" s="8" t="s">
        <v>60</v>
      </c>
    </row>
    <row r="8" spans="2:10">
      <c r="B8" s="9">
        <v>0</v>
      </c>
      <c r="C8" s="9">
        <v>3</v>
      </c>
      <c r="D8" s="42">
        <f t="shared" si="0"/>
        <v>0</v>
      </c>
      <c r="E8" s="42">
        <f t="shared" si="1"/>
        <v>0</v>
      </c>
      <c r="F8" s="42">
        <f t="shared" si="2"/>
        <v>0</v>
      </c>
      <c r="G8" s="42">
        <f t="shared" si="3"/>
        <v>0</v>
      </c>
      <c r="H8" s="8" t="s">
        <v>61</v>
      </c>
    </row>
    <row r="9" spans="2:10">
      <c r="B9" s="9">
        <v>-7.445</v>
      </c>
      <c r="C9" s="9">
        <v>1</v>
      </c>
      <c r="D9" s="42">
        <f t="shared" si="0"/>
        <v>-7.4</v>
      </c>
      <c r="E9" s="42">
        <f t="shared" si="1"/>
        <v>-7.5</v>
      </c>
      <c r="F9" s="42">
        <f t="shared" si="2"/>
        <v>-7.4</v>
      </c>
      <c r="G9" s="42">
        <f t="shared" si="3"/>
        <v>-8</v>
      </c>
      <c r="H9" s="8" t="s">
        <v>62</v>
      </c>
    </row>
    <row r="10" spans="2:10">
      <c r="B10" s="81">
        <v>-5.313</v>
      </c>
      <c r="C10" s="41">
        <v>2</v>
      </c>
      <c r="D10" s="42">
        <f t="shared" si="0"/>
        <v>-5.31</v>
      </c>
      <c r="E10" s="42">
        <f t="shared" si="1"/>
        <v>-5.32</v>
      </c>
      <c r="F10" s="42">
        <f t="shared" si="2"/>
        <v>-5.31</v>
      </c>
      <c r="G10" s="42">
        <f t="shared" si="3"/>
        <v>-6</v>
      </c>
      <c r="H10" s="8" t="s">
        <v>63</v>
      </c>
      <c r="I10" s="11"/>
    </row>
    <row r="11" spans="2:10">
      <c r="B11" s="9">
        <v>72325.3</v>
      </c>
      <c r="C11" s="9">
        <v>-1</v>
      </c>
      <c r="D11" s="42">
        <f t="shared" si="0"/>
        <v>72330</v>
      </c>
      <c r="E11" s="42">
        <f t="shared" si="1"/>
        <v>72330</v>
      </c>
      <c r="F11" s="42">
        <f t="shared" si="2"/>
        <v>72320</v>
      </c>
      <c r="G11" s="42">
        <f t="shared" si="3"/>
        <v>72325</v>
      </c>
      <c r="H11" s="8" t="s">
        <v>64</v>
      </c>
      <c r="I11" s="11"/>
    </row>
    <row r="12" spans="2:10">
      <c r="B12" s="9">
        <v>88275.5</v>
      </c>
      <c r="C12" s="9">
        <v>-2</v>
      </c>
      <c r="D12" s="42">
        <f t="shared" si="0"/>
        <v>88300</v>
      </c>
      <c r="E12" s="42">
        <f t="shared" si="1"/>
        <v>88300</v>
      </c>
      <c r="F12" s="42">
        <f t="shared" si="2"/>
        <v>88200</v>
      </c>
      <c r="G12" s="42">
        <f t="shared" si="3"/>
        <v>88275</v>
      </c>
      <c r="H12" s="8" t="s">
        <v>65</v>
      </c>
      <c r="I12" s="11"/>
    </row>
    <row r="13" spans="2:10">
      <c r="B13" s="9">
        <v>81893.8</v>
      </c>
      <c r="C13" s="9">
        <v>-3</v>
      </c>
      <c r="D13" s="42">
        <f t="shared" si="0"/>
        <v>82000</v>
      </c>
      <c r="E13" s="42">
        <f t="shared" si="1"/>
        <v>82000</v>
      </c>
      <c r="F13" s="42">
        <f t="shared" si="2"/>
        <v>81000</v>
      </c>
      <c r="G13" s="42">
        <f t="shared" si="3"/>
        <v>81893</v>
      </c>
      <c r="H13" s="8" t="s">
        <v>66</v>
      </c>
      <c r="I13" s="11"/>
    </row>
    <row r="14" spans="2:10">
      <c r="B14" s="9">
        <v>35901.4</v>
      </c>
      <c r="C14" s="9">
        <v>-4</v>
      </c>
      <c r="D14" s="42">
        <f t="shared" si="0"/>
        <v>40000</v>
      </c>
      <c r="E14" s="42">
        <f t="shared" si="1"/>
        <v>40000</v>
      </c>
      <c r="F14" s="42">
        <f t="shared" si="2"/>
        <v>30000</v>
      </c>
      <c r="G14" s="42">
        <f t="shared" si="3"/>
        <v>35901</v>
      </c>
      <c r="H14" s="8" t="s">
        <v>67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3"/>
  <sheetViews>
    <sheetView workbookViewId="0">
      <selection activeCell="G19" sqref="G19"/>
    </sheetView>
  </sheetViews>
  <sheetFormatPr defaultColWidth="9" defaultRowHeight="14.25"/>
  <cols>
    <col min="1" max="1" width="8.88495575221239" style="66"/>
    <col min="2" max="2" width="9.2212389380531" style="66" customWidth="1"/>
    <col min="3" max="5" width="7.33628318584071" style="66" customWidth="1"/>
    <col min="6" max="6" width="7.7787610619469" style="66" customWidth="1"/>
    <col min="7" max="7" width="4.88495575221239" style="66" customWidth="1"/>
    <col min="8" max="8" width="10.1061946902655" style="66" customWidth="1"/>
    <col min="9" max="16384" width="8.88495575221239" style="66"/>
  </cols>
  <sheetData>
    <row r="1" spans="2:11">
      <c r="J1" s="54"/>
    </row>
    <row r="2" ht="20.6" spans="2:11">
      <c r="B2" s="67" t="s">
        <v>68</v>
      </c>
      <c r="C2" s="68"/>
      <c r="D2" s="69"/>
      <c r="E2" s="70"/>
    </row>
    <row r="3" spans="2:11">
      <c r="D3" s="71"/>
      <c r="E3" s="71"/>
      <c r="F3" s="71"/>
    </row>
    <row r="4" ht="15.35" spans="2:11">
      <c r="B4" s="72" t="s">
        <v>69</v>
      </c>
      <c r="C4" s="72" t="s">
        <v>70</v>
      </c>
      <c r="D4" s="72" t="s">
        <v>71</v>
      </c>
      <c r="E4" s="72" t="s">
        <v>72</v>
      </c>
      <c r="F4" s="72" t="s">
        <v>73</v>
      </c>
      <c r="H4" s="73" t="s">
        <v>5</v>
      </c>
    </row>
    <row r="5" spans="2:11">
      <c r="B5" s="74">
        <v>1</v>
      </c>
      <c r="C5" s="74">
        <v>2</v>
      </c>
      <c r="D5" s="74">
        <v>3</v>
      </c>
      <c r="E5" s="75">
        <v>4</v>
      </c>
      <c r="F5" s="74">
        <v>5</v>
      </c>
      <c r="H5" s="76">
        <f>SUM(B5,C5,D5,E5,F5)</f>
        <v>15</v>
      </c>
      <c r="I5" s="71" t="s">
        <v>74</v>
      </c>
      <c r="K5" s="71"/>
    </row>
    <row r="6" spans="2:11">
      <c r="B6" s="74">
        <v>3.1926</v>
      </c>
      <c r="C6" s="74">
        <v>1.2</v>
      </c>
      <c r="D6" s="74">
        <v>3.2</v>
      </c>
      <c r="E6" s="77">
        <v>3.5</v>
      </c>
      <c r="F6" s="74">
        <v>4.1</v>
      </c>
      <c r="H6" s="76">
        <f t="shared" ref="H6:H13" si="0">SUM(B6,C6,D6,E6,F6)</f>
        <v>15.1926</v>
      </c>
      <c r="I6" s="71" t="s">
        <v>75</v>
      </c>
      <c r="K6" s="71"/>
    </row>
    <row r="7" spans="2:11">
      <c r="B7" s="75">
        <v>-1</v>
      </c>
      <c r="C7" s="75">
        <v>2</v>
      </c>
      <c r="D7" s="74">
        <v>-3</v>
      </c>
      <c r="E7" s="75">
        <v>4</v>
      </c>
      <c r="F7" s="74">
        <v>-6</v>
      </c>
      <c r="H7" s="76">
        <f t="shared" si="0"/>
        <v>-4</v>
      </c>
      <c r="I7" s="71" t="s">
        <v>76</v>
      </c>
      <c r="K7" s="71"/>
    </row>
    <row r="8" spans="2:11">
      <c r="B8" s="78">
        <v>47119</v>
      </c>
      <c r="C8" s="75">
        <v>30</v>
      </c>
      <c r="D8" s="74">
        <v>55.2</v>
      </c>
      <c r="E8" s="75">
        <v>6</v>
      </c>
      <c r="F8" s="74">
        <v>1</v>
      </c>
      <c r="H8" s="76">
        <f t="shared" si="0"/>
        <v>47211.2</v>
      </c>
      <c r="I8" s="71" t="s">
        <v>77</v>
      </c>
      <c r="K8" s="71"/>
    </row>
    <row r="9" spans="2:11">
      <c r="B9" s="79">
        <v>0.78125</v>
      </c>
      <c r="C9" s="75">
        <v>10</v>
      </c>
      <c r="D9" s="74">
        <v>15</v>
      </c>
      <c r="E9" s="75">
        <v>30</v>
      </c>
      <c r="F9" s="74">
        <v>45</v>
      </c>
      <c r="H9" s="76">
        <f t="shared" si="0"/>
        <v>100.78125</v>
      </c>
      <c r="I9" s="71" t="s">
        <v>78</v>
      </c>
      <c r="K9" s="71"/>
    </row>
    <row r="10" spans="2:11">
      <c r="B10" s="74">
        <v>5</v>
      </c>
      <c r="C10" s="74" t="s">
        <v>79</v>
      </c>
      <c r="D10" s="74">
        <v>0</v>
      </c>
      <c r="E10" s="75" t="s">
        <v>80</v>
      </c>
      <c r="F10" s="74">
        <v>15</v>
      </c>
      <c r="H10" s="76">
        <f t="shared" si="0"/>
        <v>20</v>
      </c>
      <c r="I10" s="71" t="s">
        <v>81</v>
      </c>
      <c r="K10" s="71"/>
    </row>
    <row r="11" spans="2:11">
      <c r="B11" s="74" t="s">
        <v>82</v>
      </c>
      <c r="C11" s="74" t="s">
        <v>83</v>
      </c>
      <c r="D11" s="74" t="s">
        <v>84</v>
      </c>
      <c r="E11" s="75" t="s">
        <v>85</v>
      </c>
      <c r="F11" s="74" t="s">
        <v>86</v>
      </c>
      <c r="H11" s="76">
        <f t="shared" si="0"/>
        <v>0</v>
      </c>
      <c r="I11" s="71" t="s">
        <v>81</v>
      </c>
      <c r="K11" s="71"/>
    </row>
    <row r="12" spans="2:11">
      <c r="B12" s="74">
        <v>1</v>
      </c>
      <c r="C12" s="74">
        <v>2</v>
      </c>
      <c r="D12" s="74">
        <v>3</v>
      </c>
      <c r="E12" s="75">
        <v>4</v>
      </c>
      <c r="F12" s="74" t="e">
        <f>E12/0</f>
        <v>#DIV/0!</v>
      </c>
      <c r="H12" s="76" t="e">
        <f t="shared" si="0"/>
        <v>#DIV/0!</v>
      </c>
      <c r="I12" s="71" t="s">
        <v>87</v>
      </c>
      <c r="K12" s="71"/>
    </row>
    <row r="13" spans="2:11">
      <c r="B13" s="74">
        <v>5</v>
      </c>
      <c r="C13" s="74">
        <v>6</v>
      </c>
      <c r="D13" s="74">
        <v>7</v>
      </c>
      <c r="E13" s="74" t="e">
        <f>VLOOKUP(14,H5:H8,1,0)</f>
        <v>#N/A</v>
      </c>
      <c r="F13" s="75">
        <v>8</v>
      </c>
      <c r="H13" s="76" t="e">
        <f t="shared" si="0"/>
        <v>#N/A</v>
      </c>
      <c r="I13" s="71" t="s">
        <v>87</v>
      </c>
      <c r="K13" s="71"/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4"/>
  <sheetViews>
    <sheetView workbookViewId="0">
      <selection activeCell="G5" sqref="G5:G14"/>
    </sheetView>
  </sheetViews>
  <sheetFormatPr defaultColWidth="9" defaultRowHeight="14.25"/>
  <cols>
    <col min="1" max="1" width="8.88495575221239" style="53"/>
    <col min="2" max="2" width="9.2212389380531" style="53" customWidth="1"/>
    <col min="3" max="3" width="7.33628318584071" style="53" customWidth="1"/>
    <col min="4" max="5" width="9.88495575221239" style="53" customWidth="1"/>
    <col min="6" max="6" width="4.88495575221239" style="53" customWidth="1"/>
    <col min="7" max="7" width="10.1061946902655" style="53" customWidth="1"/>
    <col min="8" max="16384" width="8.88495575221239" style="53"/>
  </cols>
  <sheetData>
    <row r="1" spans="2:10">
      <c r="J1" s="54"/>
    </row>
    <row r="2" ht="20.6" spans="2:10">
      <c r="B2" s="55" t="s">
        <v>88</v>
      </c>
      <c r="C2" s="56"/>
      <c r="D2" s="57"/>
      <c r="E2" s="57"/>
    </row>
    <row r="3" spans="2:10">
      <c r="D3" s="58"/>
      <c r="E3" s="58"/>
    </row>
    <row r="4" ht="15.35" spans="2:10">
      <c r="B4" s="59" t="s">
        <v>69</v>
      </c>
      <c r="C4" s="59" t="s">
        <v>70</v>
      </c>
      <c r="D4" s="59" t="s">
        <v>71</v>
      </c>
      <c r="E4" s="59" t="s">
        <v>72</v>
      </c>
      <c r="G4" s="60" t="s">
        <v>5</v>
      </c>
    </row>
    <row r="5" spans="2:10">
      <c r="B5" s="61">
        <v>1</v>
      </c>
      <c r="C5" s="61">
        <v>2</v>
      </c>
      <c r="D5" s="61">
        <v>3</v>
      </c>
      <c r="E5" s="61">
        <v>4</v>
      </c>
      <c r="G5" s="62">
        <f>AVERAGE(B5,C5,D5,E5)</f>
        <v>2.5</v>
      </c>
      <c r="H5" s="58" t="s">
        <v>74</v>
      </c>
      <c r="J5" s="58"/>
    </row>
    <row r="6" spans="2:10">
      <c r="B6" s="61">
        <v>3.1926</v>
      </c>
      <c r="C6" s="61">
        <v>1.2</v>
      </c>
      <c r="D6" s="61">
        <v>3.2</v>
      </c>
      <c r="E6" s="61">
        <v>4.8</v>
      </c>
      <c r="G6" s="62">
        <f t="shared" ref="G6:G14" si="0">AVERAGE(B6,C6,D6,E6)</f>
        <v>3.09815</v>
      </c>
      <c r="H6" s="58" t="s">
        <v>75</v>
      </c>
      <c r="J6" s="58"/>
    </row>
    <row r="7" spans="2:10">
      <c r="B7" s="63">
        <v>-1</v>
      </c>
      <c r="C7" s="63">
        <v>-2</v>
      </c>
      <c r="D7" s="61">
        <v>-3</v>
      </c>
      <c r="E7" s="61">
        <v>-4</v>
      </c>
      <c r="G7" s="62">
        <f t="shared" si="0"/>
        <v>-2.5</v>
      </c>
      <c r="H7" s="58" t="s">
        <v>76</v>
      </c>
      <c r="J7" s="58"/>
    </row>
    <row r="8" spans="2:10">
      <c r="B8" s="64">
        <v>47119</v>
      </c>
      <c r="C8" s="63">
        <v>30</v>
      </c>
      <c r="D8" s="61">
        <v>55.2</v>
      </c>
      <c r="E8" s="61">
        <v>8</v>
      </c>
      <c r="G8" s="62">
        <f t="shared" si="0"/>
        <v>11803.05</v>
      </c>
      <c r="H8" s="58" t="s">
        <v>77</v>
      </c>
      <c r="J8" s="58"/>
    </row>
    <row r="9" spans="2:10">
      <c r="B9" s="65">
        <v>0.78125</v>
      </c>
      <c r="C9" s="63">
        <v>10</v>
      </c>
      <c r="D9" s="61">
        <v>15</v>
      </c>
      <c r="E9" s="61">
        <v>3</v>
      </c>
      <c r="G9" s="62">
        <f t="shared" si="0"/>
        <v>7.1953125</v>
      </c>
      <c r="H9" s="58" t="s">
        <v>78</v>
      </c>
      <c r="J9" s="58"/>
    </row>
    <row r="10" spans="2:10">
      <c r="B10" s="63">
        <v>5</v>
      </c>
      <c r="C10" s="63">
        <v>10</v>
      </c>
      <c r="D10" s="61">
        <v>0</v>
      </c>
      <c r="E10" s="61">
        <v>15</v>
      </c>
      <c r="G10" s="62">
        <f t="shared" si="0"/>
        <v>7.5</v>
      </c>
      <c r="H10" s="58" t="s">
        <v>89</v>
      </c>
      <c r="J10" s="58"/>
    </row>
    <row r="11" spans="2:10">
      <c r="B11" s="63">
        <v>5</v>
      </c>
      <c r="C11" s="63">
        <v>10</v>
      </c>
      <c r="D11" s="61"/>
      <c r="E11" s="61">
        <v>15</v>
      </c>
      <c r="G11" s="62">
        <f t="shared" si="0"/>
        <v>10</v>
      </c>
      <c r="H11" s="58" t="s">
        <v>90</v>
      </c>
      <c r="J11" s="58"/>
    </row>
    <row r="12" spans="2:10">
      <c r="B12" s="61">
        <v>5</v>
      </c>
      <c r="C12" s="61" t="s">
        <v>79</v>
      </c>
      <c r="D12" s="61">
        <v>1</v>
      </c>
      <c r="E12" s="61">
        <v>1</v>
      </c>
      <c r="G12" s="62">
        <f t="shared" si="0"/>
        <v>2.33333333333333</v>
      </c>
      <c r="H12" s="58" t="s">
        <v>81</v>
      </c>
    </row>
    <row r="13" spans="2:10">
      <c r="B13" s="61" t="s">
        <v>82</v>
      </c>
      <c r="C13" s="61" t="s">
        <v>83</v>
      </c>
      <c r="D13" s="61" t="s">
        <v>84</v>
      </c>
      <c r="E13" s="61" t="s">
        <v>85</v>
      </c>
      <c r="G13" s="62" t="e">
        <f t="shared" si="0"/>
        <v>#DIV/0!</v>
      </c>
      <c r="H13" s="58" t="s">
        <v>81</v>
      </c>
      <c r="J13" s="58"/>
    </row>
    <row r="14" spans="2:10">
      <c r="B14" s="61">
        <v>1</v>
      </c>
      <c r="C14" s="61">
        <v>2</v>
      </c>
      <c r="D14" s="61" t="e">
        <f>VLOOKUP(G7,G5:G6,1,0)</f>
        <v>#N/A</v>
      </c>
      <c r="E14" s="61">
        <v>3</v>
      </c>
      <c r="G14" s="62" t="e">
        <f t="shared" si="0"/>
        <v>#N/A</v>
      </c>
      <c r="H14" s="58" t="s">
        <v>91</v>
      </c>
      <c r="J14" s="58"/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G14" sqref="G14"/>
    </sheetView>
  </sheetViews>
  <sheetFormatPr defaultColWidth="9" defaultRowHeight="14.25"/>
  <cols>
    <col min="2" max="2" width="11.1061946902655" customWidth="1"/>
    <col min="3" max="3" width="13.7787610619469" customWidth="1"/>
    <col min="4" max="4" width="6.33628318584071" customWidth="1"/>
    <col min="5" max="5" width="11.2212389380531" customWidth="1"/>
    <col min="6" max="6" width="13.7787610619469" customWidth="1"/>
    <col min="7" max="7" width="11.2212389380531" customWidth="1"/>
    <col min="9" max="9" width="11.2212389380531" customWidth="1"/>
  </cols>
  <sheetData>
    <row r="1" spans="2:10">
      <c r="J1" s="1"/>
    </row>
    <row r="2" ht="20.6" spans="2:10">
      <c r="B2" s="2" t="s">
        <v>92</v>
      </c>
      <c r="D2" s="34"/>
      <c r="E2" s="34" t="s">
        <v>93</v>
      </c>
    </row>
    <row r="3" spans="2:10">
      <c r="C3" s="8"/>
      <c r="D3" s="8"/>
      <c r="E3" s="8"/>
      <c r="F3" s="8"/>
    </row>
    <row r="4" ht="15.35" spans="2:10">
      <c r="B4" s="3" t="s">
        <v>94</v>
      </c>
      <c r="C4" s="3" t="s">
        <v>92</v>
      </c>
      <c r="D4" s="8"/>
      <c r="E4" s="3" t="s">
        <v>95</v>
      </c>
      <c r="F4" s="3" t="s">
        <v>93</v>
      </c>
    </row>
    <row r="5" spans="2:10">
      <c r="B5" s="9">
        <v>80</v>
      </c>
      <c r="C5" s="9" t="b">
        <f>AND(B5&gt;100,B5&lt;130)</f>
        <v>0</v>
      </c>
      <c r="D5" s="8"/>
      <c r="E5" s="9" t="s">
        <v>96</v>
      </c>
      <c r="F5" s="9" t="b">
        <f>OR(E5="Красный",E5="Синий")</f>
        <v>1</v>
      </c>
      <c r="G5" s="8"/>
      <c r="I5" s="11"/>
    </row>
    <row r="6" spans="2:10">
      <c r="B6" s="9">
        <v>110</v>
      </c>
      <c r="C6" s="9" t="b">
        <f t="shared" ref="C6:C14" si="0">AND(B6&gt;100,B6&lt;130)</f>
        <v>1</v>
      </c>
      <c r="D6" s="8"/>
      <c r="E6" s="9" t="s">
        <v>97</v>
      </c>
      <c r="F6" s="9" t="b">
        <f t="shared" ref="F6:F14" si="1">OR(E6="Красный",E6="Синий")</f>
        <v>1</v>
      </c>
      <c r="G6" s="8"/>
    </row>
    <row r="7" spans="2:10">
      <c r="B7" s="9">
        <v>80</v>
      </c>
      <c r="C7" s="9" t="b">
        <f t="shared" si="0"/>
        <v>0</v>
      </c>
      <c r="D7" s="8"/>
      <c r="E7" s="9" t="s">
        <v>96</v>
      </c>
      <c r="F7" s="9" t="b">
        <f t="shared" si="1"/>
        <v>1</v>
      </c>
      <c r="G7" s="8"/>
    </row>
    <row r="8" spans="2:10">
      <c r="B8" s="9">
        <v>110</v>
      </c>
      <c r="C8" s="9" t="b">
        <f t="shared" si="0"/>
        <v>1</v>
      </c>
      <c r="D8" s="8"/>
      <c r="E8" s="9" t="s">
        <v>98</v>
      </c>
      <c r="F8" s="9" t="b">
        <f t="shared" si="1"/>
        <v>0</v>
      </c>
      <c r="G8" s="8"/>
    </row>
    <row r="9" spans="2:10">
      <c r="B9" s="9">
        <v>60</v>
      </c>
      <c r="C9" s="9" t="b">
        <f t="shared" si="0"/>
        <v>0</v>
      </c>
      <c r="D9" s="8"/>
      <c r="E9" s="9" t="s">
        <v>97</v>
      </c>
      <c r="F9" s="9" t="b">
        <f t="shared" si="1"/>
        <v>1</v>
      </c>
      <c r="G9" s="8"/>
    </row>
    <row r="10" spans="2:10">
      <c r="B10" s="9">
        <v>80</v>
      </c>
      <c r="C10" s="9" t="b">
        <f t="shared" si="0"/>
        <v>0</v>
      </c>
      <c r="D10" s="8"/>
      <c r="E10" s="9" t="s">
        <v>99</v>
      </c>
      <c r="F10" s="9" t="b">
        <f t="shared" si="1"/>
        <v>0</v>
      </c>
      <c r="G10" s="8"/>
      <c r="I10" s="11"/>
    </row>
    <row r="11" spans="2:10">
      <c r="B11" s="9">
        <v>110</v>
      </c>
      <c r="C11" s="9" t="b">
        <f t="shared" si="0"/>
        <v>1</v>
      </c>
      <c r="D11" s="8"/>
      <c r="E11" s="9" t="s">
        <v>97</v>
      </c>
      <c r="F11" s="9" t="b">
        <f t="shared" si="1"/>
        <v>1</v>
      </c>
      <c r="G11" s="8"/>
      <c r="I11" s="11"/>
    </row>
    <row r="12" spans="2:10">
      <c r="B12" s="9">
        <v>120</v>
      </c>
      <c r="C12" s="9" t="b">
        <f t="shared" si="0"/>
        <v>1</v>
      </c>
      <c r="D12" s="8"/>
      <c r="E12" s="9" t="s">
        <v>97</v>
      </c>
      <c r="F12" s="9" t="b">
        <f t="shared" si="1"/>
        <v>1</v>
      </c>
      <c r="G12" s="8"/>
      <c r="I12" s="11"/>
    </row>
    <row r="13" spans="2:10">
      <c r="B13" s="9">
        <v>70</v>
      </c>
      <c r="C13" s="9" t="b">
        <f t="shared" si="0"/>
        <v>0</v>
      </c>
      <c r="D13" s="8"/>
      <c r="E13" s="9" t="s">
        <v>98</v>
      </c>
      <c r="F13" s="9" t="b">
        <f t="shared" si="1"/>
        <v>0</v>
      </c>
      <c r="G13" s="8"/>
      <c r="I13" s="11"/>
    </row>
    <row r="14" spans="2:10">
      <c r="B14" s="9">
        <v>140</v>
      </c>
      <c r="C14" s="9" t="b">
        <f t="shared" si="0"/>
        <v>0</v>
      </c>
      <c r="D14" s="8"/>
      <c r="E14" s="9" t="s">
        <v>99</v>
      </c>
      <c r="F14" s="9" t="b">
        <f t="shared" si="1"/>
        <v>0</v>
      </c>
      <c r="G14" s="8"/>
    </row>
    <row r="15" spans="2:10">
      <c r="D15" s="8"/>
    </row>
  </sheetData>
  <conditionalFormatting sqref="C5:C14">
    <cfRule type="cellIs" dxfId="0" priority="2" operator="equal">
      <formula>TRUE</formula>
    </cfRule>
  </conditionalFormatting>
  <conditionalFormatting sqref="F5:F14">
    <cfRule type="cellIs" dxfId="0" priority="1" operator="equal">
      <formula>TRUE</formula>
    </cfRule>
  </conditionalFormatting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3"/>
  <sheetViews>
    <sheetView workbookViewId="0">
      <selection activeCell="H25" sqref="H25"/>
    </sheetView>
  </sheetViews>
  <sheetFormatPr defaultColWidth="9" defaultRowHeight="14.25"/>
  <cols>
    <col min="2" max="2" width="17.6637168141593" customWidth="1"/>
    <col min="3" max="3" width="10.2212389380531" customWidth="1"/>
    <col min="4" max="4" width="15.8849557522124" customWidth="1"/>
    <col min="5" max="5" width="14.6637168141593" customWidth="1"/>
    <col min="6" max="6" width="5.44247787610619" customWidth="1"/>
    <col min="7" max="7" width="19.6637168141593" customWidth="1"/>
    <col min="8" max="8" width="10.4424778761062" customWidth="1"/>
  </cols>
  <sheetData>
    <row r="1" spans="2:10">
      <c r="J1" s="1"/>
    </row>
    <row r="2" ht="20.6" spans="2:10">
      <c r="B2" s="2" t="s">
        <v>100</v>
      </c>
      <c r="C2" s="34"/>
      <c r="D2" s="35"/>
      <c r="E2" s="35"/>
    </row>
    <row r="3" spans="2:10">
      <c r="D3" s="8"/>
      <c r="E3" s="8"/>
    </row>
    <row r="4" ht="15.35" spans="2:10">
      <c r="B4" s="3" t="s">
        <v>101</v>
      </c>
      <c r="C4" s="3" t="s">
        <v>102</v>
      </c>
      <c r="D4" s="3" t="s">
        <v>103</v>
      </c>
      <c r="E4" s="20" t="s">
        <v>104</v>
      </c>
      <c r="G4" s="4" t="s">
        <v>105</v>
      </c>
      <c r="H4" s="4" t="s">
        <v>94</v>
      </c>
    </row>
    <row r="5" spans="2:10">
      <c r="B5" s="9" t="s">
        <v>106</v>
      </c>
      <c r="C5" s="6">
        <v>5500</v>
      </c>
      <c r="D5" s="44">
        <v>4.53</v>
      </c>
      <c r="E5" s="9" t="s">
        <v>107</v>
      </c>
      <c r="G5" s="9" t="s">
        <v>108</v>
      </c>
      <c r="H5" s="29">
        <f>COUNTIF(C5:C13,"&lt;=5000")</f>
        <v>6</v>
      </c>
    </row>
    <row r="6" spans="2:10">
      <c r="B6" s="9" t="s">
        <v>109</v>
      </c>
      <c r="C6" s="6">
        <v>1800</v>
      </c>
      <c r="D6" s="44">
        <v>4.84</v>
      </c>
      <c r="E6" s="9" t="s">
        <v>110</v>
      </c>
      <c r="G6" s="9" t="s">
        <v>111</v>
      </c>
      <c r="H6" s="29">
        <f>COUNTIF(D5:D13,"&gt;=4")</f>
        <v>4</v>
      </c>
    </row>
    <row r="7" spans="2:10">
      <c r="B7" s="9" t="s">
        <v>112</v>
      </c>
      <c r="C7" s="6">
        <v>2500</v>
      </c>
      <c r="D7" s="44">
        <v>2.3</v>
      </c>
      <c r="E7" s="9" t="s">
        <v>110</v>
      </c>
      <c r="G7" s="9" t="s">
        <v>113</v>
      </c>
      <c r="H7" s="29">
        <f>COUNTIF(E5:E13,"=да")</f>
        <v>3</v>
      </c>
    </row>
    <row r="8" spans="2:10">
      <c r="B8" s="9" t="s">
        <v>114</v>
      </c>
      <c r="C8" s="6">
        <v>4900</v>
      </c>
      <c r="D8" s="44">
        <v>2.1</v>
      </c>
      <c r="E8" s="9" t="s">
        <v>107</v>
      </c>
      <c r="G8" s="8"/>
    </row>
    <row r="9" spans="2:10">
      <c r="B9" s="9" t="s">
        <v>115</v>
      </c>
      <c r="C9" s="6">
        <v>4800</v>
      </c>
      <c r="D9" s="44">
        <v>1.23</v>
      </c>
      <c r="E9" s="9" t="s">
        <v>107</v>
      </c>
      <c r="G9" s="8"/>
    </row>
    <row r="10" spans="2:10">
      <c r="B10" s="41" t="s">
        <v>116</v>
      </c>
      <c r="C10" s="6">
        <v>5700</v>
      </c>
      <c r="D10" s="44">
        <v>4.34</v>
      </c>
      <c r="E10" s="9" t="s">
        <v>110</v>
      </c>
      <c r="G10" s="8"/>
    </row>
    <row r="11" spans="2:10">
      <c r="B11" s="9" t="s">
        <v>117</v>
      </c>
      <c r="C11" s="6">
        <v>2400</v>
      </c>
      <c r="D11" s="44">
        <v>2.26</v>
      </c>
      <c r="E11" s="9" t="s">
        <v>110</v>
      </c>
    </row>
    <row r="12" spans="2:10">
      <c r="B12" s="9" t="s">
        <v>118</v>
      </c>
      <c r="C12" s="6">
        <v>3300</v>
      </c>
      <c r="D12" s="44">
        <v>4.8</v>
      </c>
      <c r="E12" s="9" t="s">
        <v>110</v>
      </c>
      <c r="G12" s="8"/>
    </row>
    <row r="13" spans="2:10">
      <c r="B13" s="9" t="s">
        <v>119</v>
      </c>
      <c r="C13" s="6">
        <v>6200</v>
      </c>
      <c r="D13" s="44">
        <v>3.24</v>
      </c>
      <c r="E13" s="9" t="s">
        <v>110</v>
      </c>
      <c r="G13" s="8"/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G18" sqref="G18"/>
    </sheetView>
  </sheetViews>
  <sheetFormatPr defaultColWidth="9" defaultRowHeight="14.25"/>
  <cols>
    <col min="2" max="2" width="14.5575221238938" customWidth="1"/>
    <col min="3" max="3" width="15.1061946902655" customWidth="1"/>
    <col min="4" max="4" width="14.4424778761062" customWidth="1"/>
    <col min="5" max="5" width="11.2212389380531" customWidth="1"/>
    <col min="7" max="7" width="11.2212389380531" customWidth="1"/>
  </cols>
  <sheetData>
    <row r="1" spans="2:10">
      <c r="J1" s="1"/>
    </row>
    <row r="2" ht="20.6" spans="2:10">
      <c r="B2" s="2" t="s">
        <v>120</v>
      </c>
    </row>
    <row r="4" ht="15.35" spans="2:10">
      <c r="B4" s="3" t="s">
        <v>121</v>
      </c>
      <c r="C4" s="3" t="s">
        <v>122</v>
      </c>
      <c r="D4" s="3" t="s">
        <v>123</v>
      </c>
    </row>
    <row r="5" spans="2:10">
      <c r="B5" s="32" t="s">
        <v>124</v>
      </c>
      <c r="C5" s="6">
        <v>110000</v>
      </c>
      <c r="D5" s="52" t="str">
        <f>IF(C5&gt;=90000,"Да","Нет")</f>
        <v>Да</v>
      </c>
      <c r="F5" s="8"/>
      <c r="G5" s="11"/>
    </row>
    <row r="6" spans="2:10">
      <c r="B6" s="32" t="s">
        <v>125</v>
      </c>
      <c r="C6" s="6">
        <v>113000</v>
      </c>
      <c r="D6" s="52" t="str">
        <f t="shared" ref="D6:D15" si="0">IF(C6&gt;=90000,"Да","Нет")</f>
        <v>Да</v>
      </c>
      <c r="F6" s="8"/>
      <c r="G6" s="11"/>
    </row>
    <row r="7" spans="2:10">
      <c r="B7" s="32" t="s">
        <v>126</v>
      </c>
      <c r="C7" s="6">
        <v>106000</v>
      </c>
      <c r="D7" s="52" t="str">
        <f t="shared" si="0"/>
        <v>Да</v>
      </c>
      <c r="F7" s="8"/>
      <c r="G7" s="11"/>
    </row>
    <row r="8" spans="2:10">
      <c r="B8" s="32" t="s">
        <v>127</v>
      </c>
      <c r="C8" s="6">
        <v>84000</v>
      </c>
      <c r="D8" s="52" t="str">
        <f t="shared" si="0"/>
        <v>Нет</v>
      </c>
      <c r="F8" s="8"/>
      <c r="G8" s="11"/>
    </row>
    <row r="9" spans="2:10">
      <c r="B9" s="32" t="s">
        <v>128</v>
      </c>
      <c r="C9" s="6">
        <v>134000</v>
      </c>
      <c r="D9" s="52" t="str">
        <f t="shared" si="0"/>
        <v>Да</v>
      </c>
      <c r="F9" s="8"/>
      <c r="G9" s="11"/>
    </row>
    <row r="10" spans="2:10">
      <c r="B10" s="32" t="s">
        <v>129</v>
      </c>
      <c r="C10" s="6">
        <v>51000</v>
      </c>
      <c r="D10" s="52" t="str">
        <f t="shared" si="0"/>
        <v>Нет</v>
      </c>
      <c r="F10" s="8"/>
      <c r="G10" s="11"/>
    </row>
    <row r="11" spans="2:10">
      <c r="B11" s="32" t="s">
        <v>130</v>
      </c>
      <c r="C11" s="6">
        <v>83000</v>
      </c>
      <c r="D11" s="52" t="str">
        <f t="shared" si="0"/>
        <v>Нет</v>
      </c>
      <c r="F11" s="8"/>
      <c r="G11" s="11"/>
    </row>
    <row r="12" spans="2:10">
      <c r="B12" s="32" t="s">
        <v>131</v>
      </c>
      <c r="C12" s="6">
        <v>75000</v>
      </c>
      <c r="D12" s="52" t="str">
        <f t="shared" si="0"/>
        <v>Нет</v>
      </c>
      <c r="F12" s="8"/>
      <c r="G12" s="11"/>
    </row>
    <row r="13" spans="2:10">
      <c r="B13" s="32" t="s">
        <v>132</v>
      </c>
      <c r="C13" s="6">
        <v>92000</v>
      </c>
      <c r="D13" s="52" t="str">
        <f t="shared" si="0"/>
        <v>Да</v>
      </c>
      <c r="F13" s="8"/>
      <c r="G13" s="11"/>
    </row>
    <row r="14" spans="2:10">
      <c r="B14" s="33" t="s">
        <v>133</v>
      </c>
      <c r="C14" s="6">
        <v>99000</v>
      </c>
      <c r="D14" s="52" t="str">
        <f t="shared" si="0"/>
        <v>Да</v>
      </c>
      <c r="F14" s="8"/>
    </row>
    <row r="15" spans="2:10">
      <c r="B15" s="33" t="s">
        <v>134</v>
      </c>
      <c r="C15" s="6">
        <v>61000</v>
      </c>
      <c r="D15" s="52" t="str">
        <f t="shared" si="0"/>
        <v>Нет</v>
      </c>
      <c r="F15" s="8"/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3"/>
  <sheetViews>
    <sheetView workbookViewId="0">
      <selection activeCell="C25" sqref="C25"/>
    </sheetView>
  </sheetViews>
  <sheetFormatPr defaultColWidth="9" defaultRowHeight="14.25"/>
  <cols>
    <col min="2" max="2" width="16.7787610619469" customWidth="1"/>
    <col min="3" max="3" width="16.5575221238938" customWidth="1"/>
    <col min="4" max="4" width="17.3362831858407" customWidth="1"/>
    <col min="5" max="5" width="8.10619469026549" customWidth="1"/>
    <col min="6" max="6" width="8.66371681415929" customWidth="1"/>
    <col min="7" max="7" width="14.5575221238938" customWidth="1"/>
    <col min="8" max="8" width="11.2212389380531" customWidth="1"/>
  </cols>
  <sheetData>
    <row r="1" spans="2:11">
      <c r="J1" s="1"/>
    </row>
    <row r="2" ht="20.6" spans="2:11">
      <c r="B2" s="2" t="s">
        <v>135</v>
      </c>
      <c r="C2" s="34"/>
      <c r="D2" s="35"/>
    </row>
    <row r="3" spans="2:11">
      <c r="D3" s="8"/>
    </row>
    <row r="4" ht="15.35" spans="2:11">
      <c r="B4" s="3" t="s">
        <v>136</v>
      </c>
      <c r="C4" s="3" t="s">
        <v>137</v>
      </c>
      <c r="D4" s="3" t="s">
        <v>138</v>
      </c>
      <c r="G4" s="50" t="s">
        <v>136</v>
      </c>
      <c r="H4" s="50" t="s">
        <v>5</v>
      </c>
    </row>
    <row r="5" spans="2:11">
      <c r="B5" s="24" t="s">
        <v>139</v>
      </c>
      <c r="C5" s="9" t="s">
        <v>140</v>
      </c>
      <c r="D5" s="25">
        <v>17000</v>
      </c>
      <c r="G5" s="9" t="s">
        <v>139</v>
      </c>
      <c r="H5" s="10">
        <f>SUMIF(B5:B13,G5,D5:D13)</f>
        <v>33000</v>
      </c>
      <c r="K5" s="8"/>
    </row>
    <row r="6" spans="2:11">
      <c r="B6" s="24" t="s">
        <v>141</v>
      </c>
      <c r="C6" s="9" t="s">
        <v>142</v>
      </c>
      <c r="D6" s="25">
        <v>14000</v>
      </c>
      <c r="K6" s="8"/>
    </row>
    <row r="7" spans="2:11">
      <c r="B7" s="24" t="s">
        <v>139</v>
      </c>
      <c r="C7" s="41" t="s">
        <v>142</v>
      </c>
      <c r="D7" s="25">
        <v>8000</v>
      </c>
      <c r="K7" s="8"/>
    </row>
    <row r="8" spans="2:11">
      <c r="B8" s="24" t="s">
        <v>143</v>
      </c>
      <c r="C8" s="9" t="s">
        <v>140</v>
      </c>
      <c r="D8" s="25">
        <v>13000</v>
      </c>
      <c r="K8" s="8"/>
    </row>
    <row r="9" spans="2:11">
      <c r="B9" s="24" t="s">
        <v>144</v>
      </c>
      <c r="C9" s="9" t="s">
        <v>140</v>
      </c>
      <c r="D9" s="25">
        <v>9000</v>
      </c>
      <c r="K9" s="8"/>
    </row>
    <row r="10" spans="2:11">
      <c r="B10" s="51" t="s">
        <v>145</v>
      </c>
      <c r="C10" s="41" t="s">
        <v>142</v>
      </c>
      <c r="D10" s="25">
        <v>22000</v>
      </c>
      <c r="K10" s="8"/>
    </row>
    <row r="11" spans="2:11">
      <c r="B11" s="24" t="s">
        <v>139</v>
      </c>
      <c r="C11" s="9" t="s">
        <v>142</v>
      </c>
      <c r="D11" s="25">
        <v>8000</v>
      </c>
    </row>
    <row r="12" spans="2:11">
      <c r="B12" s="24" t="s">
        <v>143</v>
      </c>
      <c r="C12" s="9" t="s">
        <v>140</v>
      </c>
      <c r="D12" s="25">
        <v>14000</v>
      </c>
      <c r="K12" s="8"/>
    </row>
    <row r="13" spans="2:11">
      <c r="B13" s="24" t="s">
        <v>145</v>
      </c>
      <c r="C13" s="9" t="s">
        <v>146</v>
      </c>
      <c r="D13" s="25">
        <v>16000</v>
      </c>
      <c r="K13" s="8"/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3"/>
  <sheetViews>
    <sheetView workbookViewId="0">
      <selection activeCell="H8" sqref="H8"/>
    </sheetView>
  </sheetViews>
  <sheetFormatPr defaultColWidth="9" defaultRowHeight="14.25"/>
  <cols>
    <col min="2" max="3" width="10.2212389380531" customWidth="1"/>
    <col min="4" max="4" width="11" customWidth="1"/>
    <col min="5" max="5" width="13.6637168141593" customWidth="1"/>
    <col min="6" max="6" width="5.44247787610619" customWidth="1"/>
    <col min="7" max="7" width="14.6637168141593" customWidth="1"/>
    <col min="8" max="8" width="10.4424778761062" customWidth="1"/>
  </cols>
  <sheetData>
    <row r="1" spans="2:10">
      <c r="J1" s="1"/>
    </row>
    <row r="2" ht="20.6" spans="2:10">
      <c r="B2" s="2" t="s">
        <v>147</v>
      </c>
      <c r="C2" s="34"/>
      <c r="D2" s="35"/>
      <c r="E2" s="35"/>
    </row>
    <row r="3" spans="2:10">
      <c r="D3" s="8"/>
      <c r="E3" s="8"/>
    </row>
    <row r="4" ht="15.35" spans="2:10">
      <c r="B4" s="3" t="s">
        <v>148</v>
      </c>
      <c r="C4" s="3" t="s">
        <v>149</v>
      </c>
      <c r="D4" s="3" t="s">
        <v>150</v>
      </c>
      <c r="E4" s="20" t="s">
        <v>151</v>
      </c>
      <c r="G4" s="4" t="s">
        <v>105</v>
      </c>
      <c r="H4" s="4" t="s">
        <v>152</v>
      </c>
    </row>
    <row r="5" spans="2:10">
      <c r="B5" s="9" t="s">
        <v>153</v>
      </c>
      <c r="C5" s="6">
        <v>6500</v>
      </c>
      <c r="D5" s="9" t="s">
        <v>107</v>
      </c>
      <c r="E5" s="9">
        <v>3</v>
      </c>
      <c r="G5" s="9" t="s">
        <v>154</v>
      </c>
      <c r="H5" s="21">
        <f>AVERAGEIF(C5:C13,"&gt;5000",C5:C13)</f>
        <v>6733.33333333333</v>
      </c>
    </row>
    <row r="6" spans="2:10">
      <c r="B6" s="9" t="s">
        <v>155</v>
      </c>
      <c r="C6" s="6">
        <v>4500</v>
      </c>
      <c r="D6" s="9" t="s">
        <v>110</v>
      </c>
      <c r="E6" s="9">
        <v>2</v>
      </c>
      <c r="G6" s="9" t="s">
        <v>156</v>
      </c>
      <c r="H6" s="21">
        <f>AVERAGEIF(E5:E13,"&gt;=2",C5:C13)</f>
        <v>4085.71428571429</v>
      </c>
    </row>
    <row r="7" spans="2:10">
      <c r="B7" s="9" t="s">
        <v>157</v>
      </c>
      <c r="C7" s="6">
        <v>4300</v>
      </c>
      <c r="D7" s="9" t="s">
        <v>110</v>
      </c>
      <c r="E7" s="9">
        <v>2</v>
      </c>
      <c r="G7" s="9" t="s">
        <v>158</v>
      </c>
      <c r="H7" s="21">
        <f>AVERAGEIF(D5:D13,"=да",C5:C13)</f>
        <v>6125</v>
      </c>
    </row>
    <row r="8" spans="2:10">
      <c r="B8" s="9" t="s">
        <v>159</v>
      </c>
      <c r="C8" s="6">
        <v>6400</v>
      </c>
      <c r="D8" s="9" t="s">
        <v>107</v>
      </c>
      <c r="E8" s="9">
        <v>1</v>
      </c>
      <c r="G8" s="8"/>
    </row>
    <row r="9" spans="2:10">
      <c r="B9" s="9" t="s">
        <v>160</v>
      </c>
      <c r="C9" s="6">
        <v>7300</v>
      </c>
      <c r="D9" s="9" t="s">
        <v>107</v>
      </c>
      <c r="E9" s="9">
        <v>1</v>
      </c>
      <c r="G9" s="8"/>
    </row>
    <row r="10" spans="2:10">
      <c r="B10" s="41" t="s">
        <v>161</v>
      </c>
      <c r="C10" s="6">
        <v>3800</v>
      </c>
      <c r="D10" s="9" t="s">
        <v>110</v>
      </c>
      <c r="E10" s="9">
        <v>3</v>
      </c>
      <c r="G10" s="8"/>
    </row>
    <row r="11" spans="2:10">
      <c r="B11" s="9" t="s">
        <v>162</v>
      </c>
      <c r="C11" s="6">
        <v>4300</v>
      </c>
      <c r="D11" s="9" t="s">
        <v>107</v>
      </c>
      <c r="E11" s="9">
        <v>4</v>
      </c>
    </row>
    <row r="12" spans="2:10">
      <c r="B12" s="9" t="s">
        <v>163</v>
      </c>
      <c r="C12" s="6">
        <v>3700</v>
      </c>
      <c r="D12" s="9" t="s">
        <v>110</v>
      </c>
      <c r="E12" s="9">
        <v>2</v>
      </c>
      <c r="G12" s="8"/>
    </row>
    <row r="13" spans="2:10">
      <c r="B13" s="9" t="s">
        <v>164</v>
      </c>
      <c r="C13" s="6">
        <v>1500</v>
      </c>
      <c r="D13" s="9" t="s">
        <v>110</v>
      </c>
      <c r="E13" s="9">
        <v>2</v>
      </c>
      <c r="G13" s="8"/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5"/>
  <sheetViews>
    <sheetView workbookViewId="0">
      <selection activeCell="E11" sqref="E11"/>
    </sheetView>
  </sheetViews>
  <sheetFormatPr defaultColWidth="9" defaultRowHeight="14.25" outlineLevelCol="5"/>
  <cols>
    <col min="2" max="3" width="11.2212389380531" customWidth="1"/>
    <col min="4" max="4" width="6.44247787610619" customWidth="1"/>
    <col min="5" max="5" width="17.4424778761062" customWidth="1"/>
  </cols>
  <sheetData>
    <row r="2" ht="20.6" spans="1:6">
      <c r="B2" s="2" t="s">
        <v>165</v>
      </c>
      <c r="C2" s="2"/>
      <c r="D2" s="26" t="s">
        <v>166</v>
      </c>
      <c r="E2" s="35"/>
    </row>
    <row r="3" spans="1:6">
      <c r="E3" s="8"/>
    </row>
    <row r="4" ht="15.35" spans="1:6">
      <c r="B4" s="3" t="s">
        <v>167</v>
      </c>
      <c r="C4" s="3" t="s">
        <v>168</v>
      </c>
      <c r="E4" s="27" t="s">
        <v>169</v>
      </c>
    </row>
    <row r="5" spans="1:6">
      <c r="B5" s="9" t="s">
        <v>170</v>
      </c>
      <c r="C5" s="9">
        <v>58</v>
      </c>
      <c r="E5" s="28"/>
      <c r="F5" s="8"/>
    </row>
    <row r="6" spans="1:6">
      <c r="B6" s="9" t="s">
        <v>171</v>
      </c>
      <c r="C6" s="9">
        <v>30</v>
      </c>
      <c r="E6" s="29">
        <f>MIN(C5:C15)</f>
        <v>24</v>
      </c>
      <c r="F6" s="8"/>
    </row>
    <row r="7" ht="15.35" spans="1:6">
      <c r="A7" s="30"/>
      <c r="B7" s="9" t="s">
        <v>172</v>
      </c>
      <c r="C7" s="9">
        <v>37</v>
      </c>
      <c r="F7" s="8"/>
    </row>
    <row r="8" ht="15.35" spans="1:6">
      <c r="A8" s="30"/>
      <c r="B8" s="31" t="s">
        <v>173</v>
      </c>
      <c r="C8" s="9">
        <v>96</v>
      </c>
      <c r="E8" s="27" t="s">
        <v>174</v>
      </c>
      <c r="F8" s="8"/>
    </row>
    <row r="9" ht="15.35" spans="1:6">
      <c r="A9" s="30"/>
      <c r="B9" s="32" t="s">
        <v>175</v>
      </c>
      <c r="C9" s="9">
        <v>84</v>
      </c>
      <c r="E9" s="28"/>
      <c r="F9" s="8"/>
    </row>
    <row r="10" ht="15.35" spans="1:6">
      <c r="A10" s="30"/>
      <c r="B10" s="32" t="s">
        <v>176</v>
      </c>
      <c r="C10" s="9">
        <v>89</v>
      </c>
      <c r="E10" s="29">
        <f>MAX(C5:C15)</f>
        <v>96</v>
      </c>
      <c r="F10" s="8"/>
    </row>
    <row r="11" ht="15.35" spans="1:6">
      <c r="A11" s="30"/>
      <c r="B11" s="32" t="s">
        <v>177</v>
      </c>
      <c r="C11" s="9">
        <v>70</v>
      </c>
      <c r="D11" s="8"/>
    </row>
    <row r="12" ht="15.35" spans="1:6">
      <c r="A12" s="30"/>
      <c r="B12" s="32" t="s">
        <v>178</v>
      </c>
      <c r="C12" s="9">
        <v>24</v>
      </c>
      <c r="D12" s="8"/>
      <c r="F12" s="8"/>
    </row>
    <row r="13" ht="15.35" spans="1:6">
      <c r="A13" s="30"/>
      <c r="B13" s="33" t="s">
        <v>179</v>
      </c>
      <c r="C13" s="9">
        <v>62</v>
      </c>
      <c r="D13" s="8"/>
      <c r="F13" s="8"/>
    </row>
    <row r="14" spans="1:6">
      <c r="B14" s="9" t="s">
        <v>180</v>
      </c>
      <c r="C14" s="9">
        <v>78</v>
      </c>
      <c r="D14" s="8"/>
    </row>
    <row r="15" spans="1:6">
      <c r="B15" s="9" t="s">
        <v>181</v>
      </c>
      <c r="C15" s="9">
        <v>72</v>
      </c>
    </row>
  </sheetData>
  <mergeCells count="2">
    <mergeCell ref="E4:E5"/>
    <mergeCell ref="E8:E9"/>
  </mergeCell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1"/>
  <sheetViews>
    <sheetView workbookViewId="0">
      <selection activeCell="C17" sqref="C17"/>
    </sheetView>
  </sheetViews>
  <sheetFormatPr defaultColWidth="9" defaultRowHeight="14.25"/>
  <cols>
    <col min="2" max="2" width="37.3362831858407" customWidth="1"/>
    <col min="3" max="3" width="35.1061946902655" customWidth="1"/>
    <col min="4" max="4" width="26.5575221238938" customWidth="1"/>
    <col min="5" max="5" width="10.4424778761062" customWidth="1"/>
  </cols>
  <sheetData>
    <row r="1" spans="2:10">
      <c r="J1" s="1"/>
    </row>
    <row r="2" ht="20.6" spans="2:10">
      <c r="B2" s="2" t="s">
        <v>182</v>
      </c>
    </row>
    <row r="3" spans="2:10">
      <c r="C3" s="8"/>
    </row>
    <row r="4" ht="15.35" spans="2:10">
      <c r="B4" s="3" t="s">
        <v>183</v>
      </c>
      <c r="C4" s="3" t="s">
        <v>5</v>
      </c>
    </row>
    <row r="5" spans="2:10">
      <c r="B5" s="9" t="s">
        <v>184</v>
      </c>
      <c r="C5" s="29" t="str">
        <f>TRIM(B5)</f>
        <v>Лучшее - враг хорошего</v>
      </c>
    </row>
    <row r="6" spans="2:10">
      <c r="B6" s="9" t="s">
        <v>185</v>
      </c>
      <c r="C6" s="29" t="str">
        <f t="shared" ref="C6:C11" si="0">TRIM(B6)</f>
        <v>Семь раз отмерь - один раз отрежь</v>
      </c>
    </row>
    <row r="7" spans="2:10">
      <c r="B7" s="9" t="s">
        <v>186</v>
      </c>
      <c r="C7" s="29" t="str">
        <f t="shared" si="0"/>
        <v>Слово - не воробей</v>
      </c>
    </row>
    <row r="8" spans="2:10">
      <c r="B8" s="9" t="s">
        <v>187</v>
      </c>
      <c r="C8" s="29" t="str">
        <f t="shared" si="0"/>
        <v>Сделал дело - гуляй смело</v>
      </c>
    </row>
    <row r="9" spans="2:10">
      <c r="B9" s="9" t="s">
        <v>188</v>
      </c>
      <c r="C9" s="29" t="str">
        <f t="shared" si="0"/>
        <v>Цыплят по осени считают</v>
      </c>
    </row>
    <row r="10" spans="2:10">
      <c r="B10" s="41" t="s">
        <v>189</v>
      </c>
      <c r="C10" s="29" t="str">
        <f t="shared" si="0"/>
        <v>Береги честь смолоду</v>
      </c>
    </row>
    <row r="11" spans="2:10">
      <c r="B11" s="41" t="s">
        <v>190</v>
      </c>
      <c r="C11" s="29" t="str">
        <f t="shared" si="0"/>
        <v>Семеро одного не ждут</v>
      </c>
    </row>
  </sheetData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D11" sqref="D11"/>
    </sheetView>
  </sheetViews>
  <sheetFormatPr defaultColWidth="9" defaultRowHeight="14.25"/>
  <cols>
    <col min="2" max="2" width="10.1061946902655" customWidth="1"/>
    <col min="3" max="3" width="28.2212389380531" customWidth="1"/>
    <col min="4" max="5" width="15.5575221238938" customWidth="1"/>
    <col min="6" max="6" width="5.44247787610619" customWidth="1"/>
    <col min="7" max="7" width="26.5575221238938" customWidth="1"/>
    <col min="8" max="8" width="10.4424778761062" customWidth="1"/>
  </cols>
  <sheetData>
    <row r="1" spans="2:10">
      <c r="J1" s="1"/>
    </row>
    <row r="2" ht="20.6" spans="2:10">
      <c r="B2" s="2" t="s">
        <v>191</v>
      </c>
      <c r="D2" s="26"/>
    </row>
    <row r="3" spans="2:10">
      <c r="D3" s="8"/>
      <c r="E3" s="8"/>
    </row>
    <row r="4" ht="30.75" spans="2:10">
      <c r="B4" s="3" t="s">
        <v>192</v>
      </c>
      <c r="C4" s="3" t="s">
        <v>183</v>
      </c>
      <c r="D4" s="39" t="s">
        <v>193</v>
      </c>
      <c r="E4" s="39" t="s">
        <v>194</v>
      </c>
    </row>
    <row r="5" spans="2:10">
      <c r="B5" s="9" t="s">
        <v>195</v>
      </c>
      <c r="C5" s="49" t="s">
        <v>196</v>
      </c>
      <c r="D5" s="29">
        <f>SEARCH(B5,C5)</f>
        <v>1</v>
      </c>
      <c r="E5" s="29">
        <f>FIND(B5,C5)</f>
        <v>1</v>
      </c>
      <c r="F5" s="8" t="s">
        <v>197</v>
      </c>
    </row>
    <row r="6" spans="2:10">
      <c r="B6" s="9" t="s">
        <v>198</v>
      </c>
      <c r="C6" s="6" t="s">
        <v>199</v>
      </c>
      <c r="D6" s="29">
        <f t="shared" ref="D6:D15" si="0">SEARCH(B6,C6)</f>
        <v>3</v>
      </c>
      <c r="E6" s="29">
        <f t="shared" ref="E6:E15" si="1">FIND(B6,C6)</f>
        <v>3</v>
      </c>
      <c r="F6" s="8" t="s">
        <v>200</v>
      </c>
    </row>
    <row r="7" spans="2:10">
      <c r="B7" s="9" t="s">
        <v>201</v>
      </c>
      <c r="C7" s="6" t="s">
        <v>202</v>
      </c>
      <c r="D7" s="29">
        <f t="shared" si="0"/>
        <v>6</v>
      </c>
      <c r="E7" s="29">
        <f t="shared" si="1"/>
        <v>6</v>
      </c>
      <c r="F7" s="8" t="s">
        <v>203</v>
      </c>
    </row>
    <row r="8" spans="2:10">
      <c r="B8" s="9" t="s">
        <v>204</v>
      </c>
      <c r="C8" s="49" t="s">
        <v>205</v>
      </c>
      <c r="D8" s="29">
        <f t="shared" si="0"/>
        <v>12</v>
      </c>
      <c r="E8" s="29">
        <f t="shared" si="1"/>
        <v>12</v>
      </c>
      <c r="F8" s="8" t="s">
        <v>206</v>
      </c>
    </row>
    <row r="9" spans="2:10">
      <c r="B9" s="9" t="s">
        <v>207</v>
      </c>
      <c r="C9" s="49" t="s">
        <v>208</v>
      </c>
      <c r="D9" s="29">
        <f t="shared" si="0"/>
        <v>1</v>
      </c>
      <c r="E9" s="29">
        <f t="shared" si="1"/>
        <v>1</v>
      </c>
      <c r="F9" s="8" t="s">
        <v>206</v>
      </c>
    </row>
    <row r="10" spans="2:10">
      <c r="B10" s="41" t="s">
        <v>198</v>
      </c>
      <c r="C10" s="6" t="s">
        <v>209</v>
      </c>
      <c r="D10" s="29" t="e">
        <f t="shared" si="0"/>
        <v>#VALUE!</v>
      </c>
      <c r="E10" s="29" t="e">
        <f t="shared" si="1"/>
        <v>#VALUE!</v>
      </c>
      <c r="F10" s="8" t="s">
        <v>210</v>
      </c>
    </row>
    <row r="11" spans="2:10">
      <c r="B11" s="41" t="s">
        <v>211</v>
      </c>
      <c r="C11" s="49" t="s">
        <v>212</v>
      </c>
      <c r="D11" s="29">
        <f t="shared" si="0"/>
        <v>1</v>
      </c>
      <c r="E11" s="29" t="e">
        <f t="shared" si="1"/>
        <v>#VALUE!</v>
      </c>
      <c r="F11" s="8" t="s">
        <v>213</v>
      </c>
    </row>
    <row r="12" spans="2:10">
      <c r="B12" s="9"/>
      <c r="C12" s="6" t="s">
        <v>209</v>
      </c>
      <c r="D12" s="29">
        <f t="shared" si="0"/>
        <v>1</v>
      </c>
      <c r="E12" s="29">
        <f t="shared" si="1"/>
        <v>1</v>
      </c>
      <c r="F12" s="8" t="s">
        <v>214</v>
      </c>
    </row>
    <row r="13" spans="2:10">
      <c r="B13" s="9" t="s">
        <v>215</v>
      </c>
      <c r="C13" s="6" t="s">
        <v>216</v>
      </c>
      <c r="D13" s="29">
        <f t="shared" si="0"/>
        <v>7</v>
      </c>
      <c r="E13" s="29">
        <f t="shared" si="1"/>
        <v>7</v>
      </c>
      <c r="F13" s="8" t="s">
        <v>217</v>
      </c>
    </row>
    <row r="14" spans="2:10">
      <c r="B14" s="9" t="s">
        <v>218</v>
      </c>
      <c r="C14" s="6" t="s">
        <v>219</v>
      </c>
      <c r="D14" s="29">
        <f t="shared" si="0"/>
        <v>4</v>
      </c>
      <c r="E14" s="29">
        <f t="shared" si="1"/>
        <v>4</v>
      </c>
      <c r="F14" s="8" t="s">
        <v>220</v>
      </c>
    </row>
    <row r="15" spans="2:10">
      <c r="B15" s="41">
        <v>3</v>
      </c>
      <c r="C15" s="9">
        <v>131111</v>
      </c>
      <c r="D15" s="29">
        <f t="shared" si="0"/>
        <v>2</v>
      </c>
      <c r="E15" s="29">
        <f t="shared" si="1"/>
        <v>2</v>
      </c>
      <c r="F15" s="8" t="s">
        <v>221</v>
      </c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8"/>
  <sheetViews>
    <sheetView workbookViewId="0">
      <selection activeCell="E17" sqref="E17"/>
    </sheetView>
  </sheetViews>
  <sheetFormatPr defaultColWidth="9" defaultRowHeight="14.25" outlineLevelRow="7" outlineLevelCol="4"/>
  <cols>
    <col min="2" max="2" width="19.3362831858407" customWidth="1"/>
    <col min="3" max="3" width="15.7787610619469" customWidth="1"/>
    <col min="4" max="4" width="29.5575221238938" customWidth="1"/>
    <col min="5" max="5" width="25.2212389380531" customWidth="1"/>
    <col min="6" max="6" width="26.5575221238938" customWidth="1"/>
    <col min="7" max="7" width="10.4424778761062" customWidth="1"/>
  </cols>
  <sheetData>
    <row r="2" ht="20.6" spans="2:5">
      <c r="B2" s="26" t="s">
        <v>222</v>
      </c>
      <c r="C2" s="26"/>
      <c r="D2" s="2"/>
    </row>
    <row r="3" spans="2:5">
      <c r="D3" s="8"/>
    </row>
    <row r="4" ht="15.35" spans="2:5">
      <c r="B4" s="3" t="s">
        <v>223</v>
      </c>
      <c r="C4" s="3" t="s">
        <v>224</v>
      </c>
      <c r="D4" s="3" t="s">
        <v>11</v>
      </c>
      <c r="E4" s="3" t="s">
        <v>225</v>
      </c>
    </row>
    <row r="5" spans="2:5">
      <c r="B5" s="9" t="s">
        <v>226</v>
      </c>
      <c r="C5" s="21" t="str">
        <f>SUBSTITUTE(B5,"у","о")</f>
        <v>Стол</v>
      </c>
      <c r="D5" s="47" t="s">
        <v>227</v>
      </c>
      <c r="E5" s="6" t="s">
        <v>228</v>
      </c>
    </row>
    <row r="6" spans="2:5">
      <c r="B6" s="9" t="s">
        <v>229</v>
      </c>
      <c r="C6" s="21" t="str">
        <f>SUBSTITUTE(B6,"о","и",2)</f>
        <v>Помидор</v>
      </c>
      <c r="D6" s="47" t="s">
        <v>230</v>
      </c>
      <c r="E6" s="6" t="s">
        <v>231</v>
      </c>
    </row>
    <row r="7" spans="2:5">
      <c r="B7" s="9" t="s">
        <v>232</v>
      </c>
      <c r="C7" s="21" t="str">
        <f>SUBSTITUTE(B7,"кот","тигр")</f>
        <v>Кот, тигр</v>
      </c>
      <c r="D7" s="47" t="s">
        <v>233</v>
      </c>
      <c r="E7" s="6" t="s">
        <v>234</v>
      </c>
    </row>
    <row r="8" spans="2:5">
      <c r="B8" s="9" t="s">
        <v>235</v>
      </c>
      <c r="C8" s="21" t="str">
        <f>SUBSTITUTE(B8,"#","")</f>
        <v>1825</v>
      </c>
      <c r="D8" s="47" t="s">
        <v>236</v>
      </c>
      <c r="E8" s="6" t="s">
        <v>237</v>
      </c>
    </row>
  </sheetData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6"/>
  <sheetViews>
    <sheetView workbookViewId="0">
      <selection activeCell="F17" sqref="F17"/>
    </sheetView>
  </sheetViews>
  <sheetFormatPr defaultColWidth="9" defaultRowHeight="14.25" outlineLevelCol="7"/>
  <cols>
    <col min="2" max="2" width="20" customWidth="1"/>
    <col min="3" max="3" width="20.3362831858407" customWidth="1"/>
    <col min="4" max="4" width="8" customWidth="1"/>
    <col min="6" max="6" width="11.2212389380531" customWidth="1"/>
    <col min="8" max="8" width="11.2212389380531" customWidth="1"/>
  </cols>
  <sheetData>
    <row r="2" ht="21" customHeight="1" spans="2:8">
      <c r="B2" s="2" t="s">
        <v>238</v>
      </c>
    </row>
    <row r="4" ht="15.35" spans="2:8">
      <c r="B4" s="3" t="s">
        <v>239</v>
      </c>
      <c r="C4" s="3" t="s">
        <v>240</v>
      </c>
    </row>
    <row r="5" spans="2:8">
      <c r="B5" s="32" t="s">
        <v>241</v>
      </c>
      <c r="C5" s="29" t="str">
        <f>REPLACE(B5,8,1,6)</f>
        <v>ФГС-2026-01</v>
      </c>
      <c r="F5" s="48"/>
      <c r="H5" s="11"/>
    </row>
    <row r="6" spans="2:8">
      <c r="B6" s="32" t="s">
        <v>242</v>
      </c>
      <c r="C6" s="29" t="str">
        <f t="shared" ref="C6:C16" si="0">REPLACE(B6,8,1,6)</f>
        <v>ФГС-2026-02</v>
      </c>
      <c r="H6" s="11"/>
    </row>
    <row r="7" spans="2:8">
      <c r="B7" s="32" t="s">
        <v>243</v>
      </c>
      <c r="C7" s="29" t="str">
        <f t="shared" si="0"/>
        <v>ФГС-2026-03</v>
      </c>
      <c r="H7" s="11"/>
    </row>
    <row r="8" spans="2:8">
      <c r="B8" s="32" t="s">
        <v>244</v>
      </c>
      <c r="C8" s="29" t="str">
        <f t="shared" si="0"/>
        <v>ААБ-2026-001</v>
      </c>
      <c r="H8" s="11"/>
    </row>
    <row r="9" spans="2:8">
      <c r="B9" s="32" t="s">
        <v>245</v>
      </c>
      <c r="C9" s="29" t="str">
        <f t="shared" si="0"/>
        <v>ААБ-2026-002</v>
      </c>
      <c r="H9" s="11"/>
    </row>
    <row r="10" spans="2:8">
      <c r="B10" s="32" t="s">
        <v>246</v>
      </c>
      <c r="C10" s="29" t="str">
        <f t="shared" si="0"/>
        <v>ААБ-2026-003</v>
      </c>
      <c r="H10" s="11"/>
    </row>
    <row r="11" spans="2:8">
      <c r="B11" s="32" t="s">
        <v>247</v>
      </c>
      <c r="C11" s="29" t="str">
        <f t="shared" si="0"/>
        <v>ААБ-2026-004</v>
      </c>
      <c r="H11" s="11"/>
    </row>
    <row r="12" spans="2:8">
      <c r="B12" s="32" t="s">
        <v>248</v>
      </c>
      <c r="C12" s="29" t="str">
        <f t="shared" si="0"/>
        <v>НАР-2026-875</v>
      </c>
      <c r="H12" s="11"/>
    </row>
    <row r="13" spans="2:8">
      <c r="B13" s="32" t="s">
        <v>249</v>
      </c>
      <c r="C13" s="29" t="str">
        <f t="shared" si="0"/>
        <v>НАР-2026-876</v>
      </c>
      <c r="H13" s="11"/>
    </row>
    <row r="14" spans="2:8">
      <c r="B14" s="32" t="s">
        <v>250</v>
      </c>
      <c r="C14" s="29" t="str">
        <f t="shared" si="0"/>
        <v>НАР-2026-877</v>
      </c>
    </row>
    <row r="15" spans="2:8">
      <c r="B15" s="32" t="s">
        <v>251</v>
      </c>
      <c r="C15" s="29" t="str">
        <f t="shared" si="0"/>
        <v>ПУИ-2026-003</v>
      </c>
    </row>
    <row r="16" spans="2:8">
      <c r="B16" s="32" t="s">
        <v>252</v>
      </c>
      <c r="C16" s="29" t="str">
        <f t="shared" si="0"/>
        <v>ПУИ-2026-004</v>
      </c>
    </row>
  </sheetData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5"/>
  <sheetViews>
    <sheetView workbookViewId="0">
      <selection activeCell="C16" sqref="C16"/>
    </sheetView>
  </sheetViews>
  <sheetFormatPr defaultColWidth="9" defaultRowHeight="14.25" outlineLevelCol="4"/>
  <cols>
    <col min="2" max="2" width="19.3362831858407" customWidth="1"/>
    <col min="3" max="3" width="12.6637168141593" customWidth="1"/>
    <col min="4" max="4" width="19.6637168141593" customWidth="1"/>
    <col min="5" max="5" width="5.44247787610619" customWidth="1"/>
    <col min="6" max="6" width="26.5575221238938" customWidth="1"/>
    <col min="7" max="7" width="10.4424778761062" customWidth="1"/>
  </cols>
  <sheetData>
    <row r="2" ht="20.6" spans="2:5">
      <c r="B2" s="26" t="s">
        <v>253</v>
      </c>
      <c r="C2" s="26" t="s">
        <v>254</v>
      </c>
      <c r="D2" s="2"/>
    </row>
    <row r="3" spans="2:5">
      <c r="D3" s="8"/>
    </row>
    <row r="4" ht="15.35" spans="2:5">
      <c r="B4" s="3" t="s">
        <v>192</v>
      </c>
      <c r="C4" s="3" t="s">
        <v>5</v>
      </c>
      <c r="D4" s="3" t="s">
        <v>11</v>
      </c>
    </row>
    <row r="5" spans="2:5">
      <c r="B5" s="9" t="s">
        <v>255</v>
      </c>
      <c r="C5" s="21" t="str">
        <f>LEFT(B5)</f>
        <v>А</v>
      </c>
      <c r="D5" s="47" t="s">
        <v>256</v>
      </c>
      <c r="E5" s="8"/>
    </row>
    <row r="6" spans="2:5">
      <c r="B6" s="9" t="s">
        <v>255</v>
      </c>
      <c r="C6" s="21" t="str">
        <f>RIGHT(B6)</f>
        <v>В</v>
      </c>
      <c r="D6" s="47" t="s">
        <v>257</v>
      </c>
      <c r="E6" s="8"/>
    </row>
    <row r="7" spans="2:5">
      <c r="E7" s="8"/>
    </row>
    <row r="8" spans="2:5">
      <c r="B8" s="9" t="s">
        <v>258</v>
      </c>
      <c r="C8" s="21" t="str">
        <f>LEFT(B8,4)</f>
        <v>Мама</v>
      </c>
      <c r="D8" s="47" t="s">
        <v>259</v>
      </c>
      <c r="E8" s="8"/>
    </row>
    <row r="9" spans="2:5">
      <c r="B9" s="9" t="s">
        <v>258</v>
      </c>
      <c r="C9" s="21" t="str">
        <f>RIGHT(B9,4)</f>
        <v>раму</v>
      </c>
      <c r="D9" s="47" t="s">
        <v>260</v>
      </c>
      <c r="E9" s="8"/>
    </row>
    <row r="10" spans="2:5">
      <c r="E10" s="8"/>
    </row>
    <row r="11" spans="2:5">
      <c r="B11" s="41" t="s">
        <v>261</v>
      </c>
      <c r="C11" s="21" t="str">
        <f>LEFT(B11,3)</f>
        <v>909</v>
      </c>
      <c r="D11" s="47" t="s">
        <v>262</v>
      </c>
      <c r="E11" s="8"/>
    </row>
    <row r="12" spans="2:5">
      <c r="B12" s="41" t="s">
        <v>261</v>
      </c>
      <c r="C12" s="21" t="str">
        <f>RIGHT(B12,5)</f>
        <v>66-55</v>
      </c>
      <c r="D12" s="47" t="s">
        <v>263</v>
      </c>
      <c r="E12" s="8"/>
    </row>
    <row r="14" spans="2:5">
      <c r="B14" s="92" t="s">
        <v>264</v>
      </c>
      <c r="C14" s="21" t="str">
        <f>LEFT(B14,4)</f>
        <v>7500</v>
      </c>
      <c r="D14" s="47" t="s">
        <v>265</v>
      </c>
    </row>
    <row r="15" spans="2:5">
      <c r="B15" s="92" t="s">
        <v>264</v>
      </c>
      <c r="C15" s="21" t="str">
        <f>RIGHT(B15,6)</f>
        <v>221155</v>
      </c>
      <c r="D15" s="47" t="s">
        <v>266</v>
      </c>
    </row>
  </sheetData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5"/>
  <sheetViews>
    <sheetView workbookViewId="0">
      <selection activeCell="B15" sqref="B15"/>
    </sheetView>
  </sheetViews>
  <sheetFormatPr defaultColWidth="9" defaultRowHeight="14.25" outlineLevelCol="4"/>
  <cols>
    <col min="2" max="2" width="14.4424778761062" customWidth="1"/>
    <col min="3" max="3" width="21.3362831858407" customWidth="1"/>
    <col min="4" max="4" width="16.2212389380531" customWidth="1"/>
    <col min="5" max="5" width="26.5575221238938" customWidth="1"/>
    <col min="6" max="6" width="10.4424778761062" customWidth="1"/>
  </cols>
  <sheetData>
    <row r="2" ht="20.6" spans="2:5">
      <c r="B2" s="2" t="s">
        <v>267</v>
      </c>
      <c r="E2" s="45"/>
    </row>
    <row r="3" spans="2:5">
      <c r="C3" s="8"/>
    </row>
    <row r="4" ht="15.35" spans="2:5">
      <c r="B4" s="3" t="s">
        <v>183</v>
      </c>
      <c r="C4" s="3" t="s">
        <v>5</v>
      </c>
    </row>
    <row r="5" spans="2:5">
      <c r="B5" s="9" t="s">
        <v>268</v>
      </c>
      <c r="C5" s="29">
        <f>LEN(B5)</f>
        <v>3</v>
      </c>
      <c r="D5" s="8" t="s">
        <v>269</v>
      </c>
    </row>
    <row r="6" spans="2:5">
      <c r="B6" s="9" t="s">
        <v>270</v>
      </c>
      <c r="C6" s="29">
        <f t="shared" ref="C6:C15" si="0">LEN(B6)</f>
        <v>4</v>
      </c>
      <c r="D6" s="8" t="s">
        <v>271</v>
      </c>
    </row>
    <row r="7" spans="2:5">
      <c r="B7" s="9" t="s">
        <v>272</v>
      </c>
      <c r="C7" s="29">
        <f t="shared" si="0"/>
        <v>3</v>
      </c>
      <c r="D7" s="8" t="s">
        <v>273</v>
      </c>
    </row>
    <row r="8" spans="2:5">
      <c r="B8" s="9" t="s">
        <v>274</v>
      </c>
      <c r="C8" s="29">
        <f t="shared" si="0"/>
        <v>11</v>
      </c>
      <c r="D8" s="8" t="s">
        <v>275</v>
      </c>
    </row>
    <row r="9" spans="2:5">
      <c r="B9" s="9"/>
      <c r="C9" s="29">
        <f t="shared" si="0"/>
        <v>0</v>
      </c>
      <c r="D9" s="8" t="s">
        <v>276</v>
      </c>
    </row>
    <row r="10" spans="2:5">
      <c r="B10" s="41">
        <v>1000</v>
      </c>
      <c r="C10" s="29">
        <f t="shared" si="0"/>
        <v>4</v>
      </c>
      <c r="D10" s="8" t="s">
        <v>277</v>
      </c>
    </row>
    <row r="11" spans="2:5">
      <c r="B11" s="43">
        <v>1000</v>
      </c>
      <c r="C11" s="29">
        <f t="shared" si="0"/>
        <v>4</v>
      </c>
      <c r="D11" s="8" t="s">
        <v>278</v>
      </c>
    </row>
    <row r="12" spans="2:5">
      <c r="B12" s="32">
        <v>47112</v>
      </c>
      <c r="C12" s="29">
        <f t="shared" si="0"/>
        <v>5</v>
      </c>
      <c r="D12" s="8" t="s">
        <v>279</v>
      </c>
    </row>
    <row r="13" spans="2:5">
      <c r="B13" s="9">
        <v>106.99</v>
      </c>
      <c r="C13" s="29">
        <f t="shared" si="0"/>
        <v>6</v>
      </c>
      <c r="D13" s="8" t="s">
        <v>280</v>
      </c>
    </row>
    <row r="14" spans="2:5">
      <c r="B14" s="46">
        <v>3.14159265358979</v>
      </c>
      <c r="C14" s="29">
        <f t="shared" si="0"/>
        <v>16</v>
      </c>
      <c r="D14" s="8" t="s">
        <v>281</v>
      </c>
    </row>
    <row r="15" spans="2:5">
      <c r="B15" s="44">
        <v>-1.75</v>
      </c>
      <c r="C15" s="29">
        <f t="shared" si="0"/>
        <v>5</v>
      </c>
      <c r="D15" s="8" t="s">
        <v>282</v>
      </c>
    </row>
  </sheetData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5"/>
  <sheetViews>
    <sheetView workbookViewId="0">
      <selection activeCell="E11" sqref="E11"/>
    </sheetView>
  </sheetViews>
  <sheetFormatPr defaultColWidth="9" defaultRowHeight="14.25"/>
  <cols>
    <col min="2" max="3" width="12.4424778761062" customWidth="1"/>
    <col min="4" max="4" width="13.1061946902655" customWidth="1"/>
    <col min="5" max="5" width="29.3362831858407" customWidth="1"/>
  </cols>
  <sheetData>
    <row r="1" spans="2:9">
      <c r="I1" s="1"/>
    </row>
    <row r="2" ht="20.6" spans="2:9">
      <c r="B2" s="2" t="s">
        <v>283</v>
      </c>
      <c r="C2" s="34"/>
      <c r="D2" s="26"/>
      <c r="E2" s="35"/>
    </row>
    <row r="3" spans="2:9">
      <c r="D3" s="8"/>
      <c r="E3" s="93" t="s">
        <v>284</v>
      </c>
    </row>
    <row r="4" ht="15.35" spans="2:9">
      <c r="B4" s="3" t="s">
        <v>69</v>
      </c>
      <c r="C4" s="3" t="s">
        <v>70</v>
      </c>
      <c r="D4" s="3" t="s">
        <v>71</v>
      </c>
      <c r="E4" s="20" t="s">
        <v>285</v>
      </c>
    </row>
    <row r="5" spans="2:9">
      <c r="B5" s="9" t="s">
        <v>286</v>
      </c>
      <c r="C5" s="6" t="s">
        <v>287</v>
      </c>
      <c r="D5" s="44" t="s">
        <v>288</v>
      </c>
      <c r="E5" s="29" t="str">
        <f>CONCATENATE(B5,", ",C5,", ",D5)</f>
        <v>А, Б, В</v>
      </c>
    </row>
    <row r="6" spans="2:9">
      <c r="B6" s="9">
        <v>1</v>
      </c>
      <c r="C6" s="9">
        <v>2</v>
      </c>
      <c r="D6" s="44">
        <v>3</v>
      </c>
      <c r="E6" s="29" t="str">
        <f>CONCATENATE(B6,", ",C6,", ",D6)</f>
        <v>1, 2, 3</v>
      </c>
    </row>
    <row r="7" spans="2:9">
      <c r="B7" s="9" t="s">
        <v>289</v>
      </c>
      <c r="C7" s="6" t="s">
        <v>290</v>
      </c>
      <c r="D7" s="44" t="s">
        <v>291</v>
      </c>
      <c r="E7" s="29" t="str">
        <f>CONCATENATE(B7,", ",C7,", ",D7)</f>
        <v>сливы, яблоки, груши</v>
      </c>
    </row>
    <row r="8" spans="2:9">
      <c r="B8" s="9" t="s">
        <v>292</v>
      </c>
      <c r="C8" s="6" t="s">
        <v>293</v>
      </c>
      <c r="D8" s="44" t="s">
        <v>294</v>
      </c>
      <c r="E8" s="29" t="str">
        <f>CONCATENATE(B8,", ",C8,", ",D8)</f>
        <v>красный, синий, зеленый</v>
      </c>
    </row>
    <row r="10" spans="2:9">
      <c r="E10" s="93" t="s">
        <v>295</v>
      </c>
    </row>
    <row r="11" spans="2:9">
      <c r="B11" s="9" t="s">
        <v>292</v>
      </c>
      <c r="C11" s="6" t="s">
        <v>293</v>
      </c>
      <c r="D11" s="44"/>
      <c r="E11" s="29" t="str">
        <f>CONCATENATE(B11," и ",C11)</f>
        <v>красный и синий</v>
      </c>
    </row>
    <row r="13" spans="2:9">
      <c r="E13" s="93" t="s">
        <v>296</v>
      </c>
    </row>
    <row r="14" ht="15.35" spans="2:9">
      <c r="B14" s="3" t="s">
        <v>297</v>
      </c>
      <c r="C14" s="3" t="s">
        <v>298</v>
      </c>
      <c r="D14" s="3" t="s">
        <v>299</v>
      </c>
      <c r="E14" s="20" t="s">
        <v>285</v>
      </c>
    </row>
    <row r="15" spans="2:9">
      <c r="B15" s="9" t="s">
        <v>300</v>
      </c>
      <c r="C15" s="6" t="s">
        <v>301</v>
      </c>
      <c r="D15" s="44" t="s">
        <v>302</v>
      </c>
      <c r="E15" s="29" t="str">
        <f>CONCATENATE(D15,", ",B15," ",C15)</f>
        <v>Уважаемый, Петр Петрович</v>
      </c>
    </row>
  </sheetData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3"/>
  <sheetViews>
    <sheetView workbookViewId="0">
      <selection activeCell="G19" sqref="G19"/>
    </sheetView>
  </sheetViews>
  <sheetFormatPr defaultColWidth="9" defaultRowHeight="14.25" outlineLevelCol="6"/>
  <cols>
    <col min="2" max="2" width="18.8849557522124" customWidth="1"/>
    <col min="3" max="3" width="16.4424778761062" customWidth="1"/>
    <col min="4" max="4" width="15.3362831858407" customWidth="1"/>
    <col min="5" max="5" width="16.7787610619469" customWidth="1"/>
    <col min="6" max="6" width="5.44247787610619" customWidth="1"/>
    <col min="7" max="7" width="19.6637168141593" customWidth="1"/>
    <col min="8" max="8" width="10.4424778761062" customWidth="1"/>
  </cols>
  <sheetData>
    <row r="2" ht="20.6" spans="2:7">
      <c r="B2" s="2" t="s">
        <v>303</v>
      </c>
      <c r="C2" s="26" t="s">
        <v>304</v>
      </c>
      <c r="D2" s="35"/>
      <c r="E2" s="35" t="s">
        <v>305</v>
      </c>
    </row>
    <row r="3" spans="2:7">
      <c r="D3" s="8"/>
      <c r="E3" s="8"/>
    </row>
    <row r="4" ht="15.35" spans="2:7">
      <c r="B4" s="3" t="s">
        <v>101</v>
      </c>
      <c r="C4" s="3" t="s">
        <v>303</v>
      </c>
      <c r="D4" s="3" t="s">
        <v>304</v>
      </c>
      <c r="E4" s="20" t="s">
        <v>306</v>
      </c>
    </row>
    <row r="5" spans="2:7">
      <c r="B5" s="9" t="s">
        <v>307</v>
      </c>
      <c r="C5" s="21" t="str">
        <f>LOWER(B5)</f>
        <v>книга</v>
      </c>
      <c r="D5" s="42" t="str">
        <f>PROPER(B5)</f>
        <v>Книга</v>
      </c>
      <c r="E5" s="29" t="str">
        <f>UPPER(B5)</f>
        <v>КНИГА</v>
      </c>
    </row>
    <row r="6" spans="2:7">
      <c r="B6" s="9" t="s">
        <v>308</v>
      </c>
      <c r="C6" s="21" t="str">
        <f t="shared" ref="C6:C13" si="0">LOWER(B6)</f>
        <v>книга</v>
      </c>
      <c r="D6" s="42" t="str">
        <f t="shared" ref="D6:D13" si="1">PROPER(B6)</f>
        <v>Книга</v>
      </c>
      <c r="E6" s="29" t="str">
        <f t="shared" ref="E6:E13" si="2">UPPER(B6)</f>
        <v>КНИГА</v>
      </c>
    </row>
    <row r="7" spans="2:7">
      <c r="B7" s="9" t="s">
        <v>309</v>
      </c>
      <c r="C7" s="21" t="str">
        <f t="shared" si="0"/>
        <v>а.с. пушкин</v>
      </c>
      <c r="D7" s="42" t="str">
        <f t="shared" si="1"/>
        <v>А.С. Пушкин</v>
      </c>
      <c r="E7" s="29" t="str">
        <f t="shared" si="2"/>
        <v>А.С. ПУШКИН</v>
      </c>
    </row>
    <row r="8" spans="2:7">
      <c r="B8" s="9" t="s">
        <v>310</v>
      </c>
      <c r="C8" s="21" t="str">
        <f t="shared" si="0"/>
        <v>яблоки, груши</v>
      </c>
      <c r="D8" s="42" t="str">
        <f t="shared" si="1"/>
        <v>Яблоки, Груши</v>
      </c>
      <c r="E8" s="29" t="str">
        <f t="shared" si="2"/>
        <v>ЯБЛОКИ, ГРУШИ</v>
      </c>
    </row>
    <row r="9" spans="2:7">
      <c r="B9" s="9" t="s">
        <v>311</v>
      </c>
      <c r="C9" s="21" t="str">
        <f t="shared" si="0"/>
        <v>ик-0002536</v>
      </c>
      <c r="D9" s="42" t="str">
        <f t="shared" si="1"/>
        <v>Ик-0002536</v>
      </c>
      <c r="E9" s="29" t="str">
        <f t="shared" si="2"/>
        <v>ИК-0002536</v>
      </c>
    </row>
    <row r="10" spans="2:7">
      <c r="B10" s="9" t="s">
        <v>312</v>
      </c>
      <c r="C10" s="21" t="str">
        <f t="shared" si="0"/>
        <v>ик-0002536-чб</v>
      </c>
      <c r="D10" s="42" t="str">
        <f t="shared" si="1"/>
        <v>Ик-0002536-Чб</v>
      </c>
      <c r="E10" s="29" t="str">
        <f t="shared" si="2"/>
        <v>ИК-0002536-ЧБ</v>
      </c>
      <c r="F10" s="8"/>
    </row>
    <row r="11" spans="2:7">
      <c r="B11" s="9">
        <v>12345</v>
      </c>
      <c r="C11" s="21" t="str">
        <f t="shared" si="0"/>
        <v>12345</v>
      </c>
      <c r="D11" s="42" t="str">
        <f t="shared" si="1"/>
        <v>12345</v>
      </c>
      <c r="E11" s="29" t="str">
        <f t="shared" si="2"/>
        <v>12345</v>
      </c>
      <c r="F11" s="8" t="s">
        <v>313</v>
      </c>
    </row>
    <row r="12" spans="2:7">
      <c r="B12" s="43">
        <v>10000</v>
      </c>
      <c r="C12" s="21" t="str">
        <f t="shared" si="0"/>
        <v>10000</v>
      </c>
      <c r="D12" s="42" t="str">
        <f t="shared" si="1"/>
        <v>10000</v>
      </c>
      <c r="E12" s="29" t="str">
        <f t="shared" si="2"/>
        <v>10000</v>
      </c>
      <c r="F12" s="8" t="s">
        <v>314</v>
      </c>
      <c r="G12" s="8"/>
    </row>
    <row r="13" spans="2:7">
      <c r="B13" s="32">
        <v>47112</v>
      </c>
      <c r="C13" s="21" t="str">
        <f t="shared" si="0"/>
        <v>47112</v>
      </c>
      <c r="D13" s="42" t="str">
        <f t="shared" si="1"/>
        <v>47112</v>
      </c>
      <c r="E13" s="29" t="str">
        <f t="shared" si="2"/>
        <v>47112</v>
      </c>
      <c r="F13" s="8" t="s">
        <v>314</v>
      </c>
      <c r="G13" s="8"/>
    </row>
  </sheetData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G8" sqref="G8"/>
    </sheetView>
  </sheetViews>
  <sheetFormatPr defaultColWidth="9" defaultRowHeight="14.25"/>
  <cols>
    <col min="2" max="2" width="11.2212389380531" customWidth="1"/>
    <col min="3" max="4" width="13.3362831858407" customWidth="1"/>
    <col min="5" max="5" width="4" customWidth="1"/>
    <col min="6" max="6" width="12" customWidth="1"/>
  </cols>
  <sheetData>
    <row r="1" spans="1:10">
      <c r="J1" s="1"/>
    </row>
    <row r="2" ht="20.6" spans="1:10">
      <c r="B2" s="2" t="s">
        <v>315</v>
      </c>
      <c r="C2" s="2"/>
      <c r="D2" s="26" t="s">
        <v>316</v>
      </c>
    </row>
    <row r="4" ht="30.75" spans="1:10">
      <c r="B4" s="3" t="s">
        <v>317</v>
      </c>
      <c r="C4" s="39" t="s">
        <v>318</v>
      </c>
      <c r="D4" s="39" t="s">
        <v>319</v>
      </c>
      <c r="G4" s="4" t="s">
        <v>320</v>
      </c>
    </row>
    <row r="5" spans="1:10">
      <c r="B5" s="9" t="s">
        <v>96</v>
      </c>
      <c r="C5" s="40" t="str">
        <f>IF(COUNT(B5)&gt;0,"да","")</f>
        <v/>
      </c>
      <c r="D5" s="9" t="str">
        <f>IF(COUNTA(B5)&gt;0,"да","")</f>
        <v>да</v>
      </c>
      <c r="E5" s="8" t="s">
        <v>321</v>
      </c>
      <c r="G5" s="29">
        <f>COUNT(B5:B15)</f>
        <v>6</v>
      </c>
    </row>
    <row r="6" spans="1:10">
      <c r="B6" s="9">
        <v>18</v>
      </c>
      <c r="C6" s="40" t="str">
        <f t="shared" ref="C6:C15" si="0">IF(COUNT(B6)&gt;0,"да","")</f>
        <v>да</v>
      </c>
      <c r="D6" s="9" t="str">
        <f t="shared" ref="D6:D15" si="1">IF(COUNTA(B6)&gt;0,"да","")</f>
        <v>да</v>
      </c>
      <c r="E6" s="8" t="s">
        <v>322</v>
      </c>
    </row>
    <row r="7" ht="15.35" spans="1:10">
      <c r="A7" s="30"/>
      <c r="B7" s="31">
        <v>0.73</v>
      </c>
      <c r="C7" s="40" t="str">
        <f t="shared" si="0"/>
        <v>да</v>
      </c>
      <c r="D7" s="9" t="str">
        <f t="shared" si="1"/>
        <v>да</v>
      </c>
      <c r="E7" s="8" t="s">
        <v>323</v>
      </c>
      <c r="G7" s="4" t="s">
        <v>316</v>
      </c>
    </row>
    <row r="8" ht="15.35" spans="1:10">
      <c r="A8" s="30"/>
      <c r="B8" s="9">
        <v>4.4</v>
      </c>
      <c r="C8" s="40" t="str">
        <f t="shared" si="0"/>
        <v>да</v>
      </c>
      <c r="D8" s="9" t="str">
        <f t="shared" si="1"/>
        <v>да</v>
      </c>
      <c r="E8" s="8" t="s">
        <v>324</v>
      </c>
      <c r="G8" s="29">
        <f>COUNTA(B5:B15)</f>
        <v>10</v>
      </c>
    </row>
    <row r="9" ht="15.35" spans="1:10">
      <c r="A9" s="30"/>
      <c r="B9" s="41">
        <v>-1</v>
      </c>
      <c r="C9" s="40" t="str">
        <f t="shared" si="0"/>
        <v>да</v>
      </c>
      <c r="D9" s="9" t="str">
        <f t="shared" si="1"/>
        <v>да</v>
      </c>
      <c r="E9" s="8" t="s">
        <v>76</v>
      </c>
      <c r="G9" s="8"/>
    </row>
    <row r="10" ht="15.35" spans="1:10">
      <c r="A10" s="30"/>
      <c r="B10" s="9" t="s">
        <v>325</v>
      </c>
      <c r="C10" s="40" t="str">
        <f t="shared" si="0"/>
        <v/>
      </c>
      <c r="D10" s="9" t="str">
        <f t="shared" si="1"/>
        <v>да</v>
      </c>
      <c r="E10" s="8" t="s">
        <v>326</v>
      </c>
      <c r="G10" s="8"/>
    </row>
    <row r="11" ht="15.35" spans="1:10">
      <c r="A11" s="30"/>
      <c r="B11" s="41"/>
      <c r="C11" s="40" t="str">
        <f t="shared" si="0"/>
        <v/>
      </c>
      <c r="D11" s="9" t="str">
        <f t="shared" si="1"/>
        <v/>
      </c>
      <c r="E11" s="8" t="s">
        <v>327</v>
      </c>
      <c r="I11" s="8"/>
    </row>
    <row r="12" ht="15.35" spans="1:10">
      <c r="A12" s="30"/>
      <c r="B12" s="32">
        <v>46798</v>
      </c>
      <c r="C12" s="40" t="str">
        <f t="shared" si="0"/>
        <v>да</v>
      </c>
      <c r="D12" s="9" t="str">
        <f t="shared" si="1"/>
        <v>да</v>
      </c>
      <c r="E12" s="8" t="s">
        <v>328</v>
      </c>
      <c r="G12" s="8"/>
    </row>
    <row r="13" ht="15.35" spans="1:10">
      <c r="A13" s="30"/>
      <c r="B13" s="36">
        <v>0.763888888888889</v>
      </c>
      <c r="C13" s="40" t="str">
        <f t="shared" si="0"/>
        <v>да</v>
      </c>
      <c r="D13" s="9" t="str">
        <f t="shared" si="1"/>
        <v>да</v>
      </c>
      <c r="E13" s="8" t="s">
        <v>329</v>
      </c>
      <c r="G13" s="8"/>
    </row>
    <row r="14" spans="1:10">
      <c r="B14" s="9" t="str">
        <f>"0024"</f>
        <v>0024</v>
      </c>
      <c r="C14" s="40" t="str">
        <f t="shared" si="0"/>
        <v/>
      </c>
      <c r="D14" s="9" t="str">
        <f t="shared" si="1"/>
        <v>да</v>
      </c>
      <c r="E14" s="8" t="s">
        <v>330</v>
      </c>
    </row>
    <row r="15" spans="1:10">
      <c r="B15" s="9" t="e">
        <f>VLOOKUP(B14,B5:B6,1,0)</f>
        <v>#N/A</v>
      </c>
      <c r="C15" s="40" t="str">
        <f t="shared" si="0"/>
        <v/>
      </c>
      <c r="D15" s="9" t="str">
        <f t="shared" si="1"/>
        <v>да</v>
      </c>
      <c r="E15" s="8" t="s">
        <v>331</v>
      </c>
    </row>
  </sheetData>
  <conditionalFormatting sqref="C5:D15">
    <cfRule type="cellIs" dxfId="0" priority="1" operator="equal">
      <formula>""</formula>
    </cfRule>
  </conditionalFormatting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"/>
  <sheetViews>
    <sheetView workbookViewId="0">
      <selection activeCell="D7" sqref="D7"/>
    </sheetView>
  </sheetViews>
  <sheetFormatPr defaultColWidth="9" defaultRowHeight="14.25" outlineLevelCol="4"/>
  <cols>
    <col min="2" max="2" width="14" customWidth="1"/>
    <col min="3" max="3" width="9.33628318584071" customWidth="1"/>
    <col min="4" max="4" width="17.4424778761062" customWidth="1"/>
  </cols>
  <sheetData>
    <row r="2" ht="20.6" spans="1:5">
      <c r="B2" s="2" t="s">
        <v>332</v>
      </c>
      <c r="D2" s="35"/>
    </row>
    <row r="3" spans="1:5">
      <c r="D3" s="8"/>
    </row>
    <row r="4" ht="15.35" spans="1:5">
      <c r="B4" s="3" t="s">
        <v>317</v>
      </c>
      <c r="D4" s="27" t="s">
        <v>333</v>
      </c>
    </row>
    <row r="5" spans="1:5">
      <c r="B5" s="9" t="s">
        <v>334</v>
      </c>
      <c r="D5" s="28"/>
      <c r="E5" s="8"/>
    </row>
    <row r="6" spans="1:5">
      <c r="B6" s="9" t="s">
        <v>335</v>
      </c>
      <c r="D6" s="29">
        <f>COUNTBLANK(B5:B15)</f>
        <v>3</v>
      </c>
      <c r="E6" s="8"/>
    </row>
    <row r="7" ht="15.35" spans="1:5">
      <c r="A7" s="30"/>
      <c r="B7" s="9">
        <v>100</v>
      </c>
      <c r="E7" s="8"/>
    </row>
    <row r="8" ht="15.35" spans="1:5">
      <c r="A8" s="13">
        <v>1</v>
      </c>
      <c r="B8" s="31"/>
      <c r="C8" s="8" t="s">
        <v>327</v>
      </c>
    </row>
    <row r="9" ht="15.35" spans="1:5">
      <c r="A9" s="13"/>
      <c r="B9" s="37">
        <v>0.3</v>
      </c>
      <c r="C9" s="8"/>
    </row>
    <row r="10" ht="15.35" spans="1:5">
      <c r="A10" s="13">
        <v>2</v>
      </c>
      <c r="B10" s="32"/>
      <c r="C10" s="8" t="s">
        <v>327</v>
      </c>
    </row>
    <row r="11" ht="15.35" spans="1:5">
      <c r="A11" s="13"/>
      <c r="B11" s="9">
        <v>0.5</v>
      </c>
      <c r="C11" s="8"/>
    </row>
    <row r="12" ht="15.35" spans="1:5">
      <c r="A12" s="13"/>
      <c r="B12" s="32" t="s">
        <v>336</v>
      </c>
      <c r="C12" s="8" t="s">
        <v>337</v>
      </c>
      <c r="E12" s="8"/>
    </row>
    <row r="13" ht="15.35" spans="1:5">
      <c r="A13" s="13">
        <v>3</v>
      </c>
      <c r="B13" s="33" t="str">
        <f>""</f>
        <v/>
      </c>
      <c r="C13" s="8" t="s">
        <v>338</v>
      </c>
      <c r="E13" s="8"/>
    </row>
    <row r="14" spans="1:5">
      <c r="A14" s="38"/>
      <c r="B14" s="32">
        <v>47044</v>
      </c>
    </row>
    <row r="15" spans="1:5">
      <c r="A15" s="38"/>
      <c r="B15" s="9" t="e">
        <f>VLOOKUP(B11,B6:B8,1,0)</f>
        <v>#N/A</v>
      </c>
    </row>
  </sheetData>
  <mergeCells count="1">
    <mergeCell ref="D4:D5"/>
  </mergeCells>
  <pageMargins left="0.7" right="0.7" top="0.75" bottom="0.75" header="0.3" footer="0.3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4"/>
  <sheetViews>
    <sheetView tabSelected="1" workbookViewId="0">
      <selection activeCell="K10" sqref="K10"/>
    </sheetView>
  </sheetViews>
  <sheetFormatPr defaultColWidth="9" defaultRowHeight="14.25"/>
  <cols>
    <col min="2" max="2" width="14" customWidth="1"/>
    <col min="3" max="5" width="13.7787610619469" customWidth="1"/>
    <col min="6" max="6" width="11.2212389380531" customWidth="1"/>
    <col min="8" max="8" width="11.2212389380531" customWidth="1"/>
  </cols>
  <sheetData>
    <row r="1" spans="2:10">
      <c r="J1" s="1"/>
    </row>
    <row r="2" ht="20.6" spans="2:10">
      <c r="B2" s="2" t="s">
        <v>339</v>
      </c>
      <c r="C2" s="34" t="s">
        <v>340</v>
      </c>
      <c r="D2" s="35" t="s">
        <v>341</v>
      </c>
    </row>
    <row r="3" spans="2:10">
      <c r="C3" s="8"/>
      <c r="D3" s="8"/>
      <c r="E3" s="8"/>
    </row>
    <row r="4" ht="15.35" spans="2:10">
      <c r="B4" s="3" t="s">
        <v>317</v>
      </c>
      <c r="C4" s="3" t="s">
        <v>339</v>
      </c>
      <c r="D4" s="3" t="s">
        <v>340</v>
      </c>
      <c r="E4" s="3" t="s">
        <v>341</v>
      </c>
    </row>
    <row r="5" spans="2:10">
      <c r="B5" s="32" t="s">
        <v>334</v>
      </c>
      <c r="C5" s="29" t="b">
        <f>ISBLANK(B5)</f>
        <v>0</v>
      </c>
      <c r="D5" s="29" t="b">
        <f>ISTEXT(B5)</f>
        <v>1</v>
      </c>
      <c r="E5" s="29" t="b">
        <f>ISNUMBER(B5)</f>
        <v>0</v>
      </c>
      <c r="F5" s="8" t="s">
        <v>342</v>
      </c>
      <c r="H5" s="11"/>
    </row>
    <row r="6" spans="2:10">
      <c r="B6" s="32"/>
      <c r="C6" s="29" t="b">
        <f t="shared" ref="C6:C14" si="0">ISBLANK(B6)</f>
        <v>1</v>
      </c>
      <c r="D6" s="29" t="b">
        <f t="shared" ref="D6:D14" si="1">ISTEXT(B6)</f>
        <v>0</v>
      </c>
      <c r="E6" s="29" t="b">
        <f t="shared" ref="E6:E14" si="2">ISNUMBER(B6)</f>
        <v>0</v>
      </c>
      <c r="F6" s="8" t="s">
        <v>343</v>
      </c>
      <c r="H6" s="11"/>
    </row>
    <row r="7" spans="2:10">
      <c r="B7" s="32" t="s">
        <v>336</v>
      </c>
      <c r="C7" s="29" t="b">
        <f t="shared" si="0"/>
        <v>0</v>
      </c>
      <c r="D7" s="29" t="b">
        <f t="shared" si="1"/>
        <v>1</v>
      </c>
      <c r="E7" s="29" t="b">
        <f t="shared" si="2"/>
        <v>0</v>
      </c>
      <c r="F7" s="8" t="s">
        <v>344</v>
      </c>
      <c r="H7" s="11"/>
    </row>
    <row r="8" spans="2:10">
      <c r="B8" s="17" t="str">
        <f>IF($C$5=FALSE,"",1)</f>
        <v/>
      </c>
      <c r="C8" s="29" t="b">
        <f t="shared" si="0"/>
        <v>0</v>
      </c>
      <c r="D8" s="29" t="b">
        <f t="shared" si="1"/>
        <v>1</v>
      </c>
      <c r="E8" s="29" t="b">
        <f t="shared" si="2"/>
        <v>0</v>
      </c>
      <c r="F8" s="8" t="s">
        <v>345</v>
      </c>
      <c r="H8" s="11"/>
    </row>
    <row r="9" spans="2:10">
      <c r="B9" s="17">
        <v>100</v>
      </c>
      <c r="C9" s="29" t="b">
        <f t="shared" si="0"/>
        <v>0</v>
      </c>
      <c r="D9" s="29" t="b">
        <f t="shared" si="1"/>
        <v>0</v>
      </c>
      <c r="E9" s="29" t="b">
        <f t="shared" si="2"/>
        <v>1</v>
      </c>
      <c r="F9" s="8" t="s">
        <v>346</v>
      </c>
      <c r="H9" s="11"/>
    </row>
    <row r="10" spans="2:10">
      <c r="B10" s="89" t="s">
        <v>347</v>
      </c>
      <c r="C10" s="29" t="b">
        <f t="shared" si="0"/>
        <v>0</v>
      </c>
      <c r="D10" s="29" t="b">
        <f t="shared" si="1"/>
        <v>1</v>
      </c>
      <c r="E10" s="29" t="b">
        <f t="shared" si="2"/>
        <v>0</v>
      </c>
      <c r="F10" s="8" t="s">
        <v>348</v>
      </c>
      <c r="H10" s="11"/>
    </row>
    <row r="11" spans="2:10">
      <c r="B11" s="32">
        <v>45657</v>
      </c>
      <c r="C11" s="29" t="b">
        <f t="shared" si="0"/>
        <v>0</v>
      </c>
      <c r="D11" s="29" t="b">
        <f t="shared" si="1"/>
        <v>0</v>
      </c>
      <c r="E11" s="29" t="b">
        <f t="shared" si="2"/>
        <v>1</v>
      </c>
      <c r="F11" s="8" t="s">
        <v>349</v>
      </c>
      <c r="H11" s="11"/>
    </row>
    <row r="12" spans="2:10">
      <c r="B12" s="36">
        <v>0.396041666666667</v>
      </c>
      <c r="C12" s="29" t="b">
        <f t="shared" si="0"/>
        <v>0</v>
      </c>
      <c r="D12" s="29" t="b">
        <f t="shared" si="1"/>
        <v>0</v>
      </c>
      <c r="E12" s="29" t="b">
        <f t="shared" si="2"/>
        <v>1</v>
      </c>
      <c r="F12" s="8" t="s">
        <v>350</v>
      </c>
      <c r="H12" s="11"/>
    </row>
    <row r="13" spans="2:10">
      <c r="B13" s="32" t="e">
        <f>VLOOKUP("утюг",$B$5:$B$8,1,0)</f>
        <v>#N/A</v>
      </c>
      <c r="C13" s="29" t="b">
        <f t="shared" si="0"/>
        <v>0</v>
      </c>
      <c r="D13" s="29" t="b">
        <f t="shared" si="1"/>
        <v>0</v>
      </c>
      <c r="E13" s="29" t="b">
        <f t="shared" si="2"/>
        <v>0</v>
      </c>
      <c r="F13" s="8" t="s">
        <v>351</v>
      </c>
      <c r="H13" s="11"/>
    </row>
    <row r="14" spans="2:10">
      <c r="B14" s="32" t="e">
        <f>6/0</f>
        <v>#DIV/0!</v>
      </c>
      <c r="C14" s="29" t="b">
        <f t="shared" si="0"/>
        <v>0</v>
      </c>
      <c r="D14" s="29" t="b">
        <f t="shared" si="1"/>
        <v>0</v>
      </c>
      <c r="E14" s="29" t="b">
        <f t="shared" si="2"/>
        <v>0</v>
      </c>
      <c r="F14" s="8" t="s">
        <v>351</v>
      </c>
    </row>
  </sheetData>
  <conditionalFormatting sqref="C5:E14">
    <cfRule type="cellIs" dxfId="0" priority="1" operator="equal">
      <formula>TRUE</formula>
    </cfRule>
  </conditionalFormatting>
  <pageMargins left="0.7" right="0.7" top="0.75" bottom="0.75" header="0.3" footer="0.3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F16" sqref="F16"/>
    </sheetView>
  </sheetViews>
  <sheetFormatPr defaultColWidth="9" defaultRowHeight="14.25"/>
  <cols>
    <col min="2" max="3" width="11.2212389380531" customWidth="1"/>
    <col min="4" max="5" width="6.44247787610619" customWidth="1"/>
    <col min="6" max="6" width="17.4424778761062" customWidth="1"/>
  </cols>
  <sheetData>
    <row r="1" spans="1:10">
      <c r="J1" s="1"/>
    </row>
    <row r="2" ht="20.6" spans="1:10">
      <c r="B2" s="2" t="s">
        <v>352</v>
      </c>
      <c r="C2" s="2"/>
      <c r="F2" s="26" t="s">
        <v>353</v>
      </c>
    </row>
    <row r="3" spans="1:10">
      <c r="F3" s="8"/>
    </row>
    <row r="4" ht="15.35" spans="1:10">
      <c r="B4" s="3" t="s">
        <v>167</v>
      </c>
      <c r="C4" s="3" t="s">
        <v>168</v>
      </c>
      <c r="E4" s="27" t="s">
        <v>354</v>
      </c>
      <c r="F4" s="27" t="s">
        <v>355</v>
      </c>
    </row>
    <row r="5" spans="1:10">
      <c r="B5" s="9" t="s">
        <v>170</v>
      </c>
      <c r="C5" s="9">
        <v>58</v>
      </c>
      <c r="E5" s="28"/>
      <c r="F5" s="28"/>
      <c r="G5" s="8"/>
    </row>
    <row r="6" spans="1:10">
      <c r="B6" s="9" t="s">
        <v>171</v>
      </c>
      <c r="C6" s="9">
        <v>30</v>
      </c>
      <c r="E6" s="9">
        <v>1</v>
      </c>
      <c r="F6" s="29">
        <f>LARGE(C5:C15,1)</f>
        <v>96</v>
      </c>
      <c r="G6" s="8"/>
    </row>
    <row r="7" ht="15.35" spans="1:10">
      <c r="A7" s="30"/>
      <c r="B7" s="9" t="s">
        <v>172</v>
      </c>
      <c r="C7" s="9">
        <v>37</v>
      </c>
      <c r="E7" s="9">
        <v>2</v>
      </c>
      <c r="F7" s="29">
        <f>LARGE(C5:C15,2)</f>
        <v>89</v>
      </c>
      <c r="G7" s="8"/>
    </row>
    <row r="8" ht="15.35" spans="1:10">
      <c r="A8" s="30"/>
      <c r="B8" s="31" t="s">
        <v>173</v>
      </c>
      <c r="C8" s="9">
        <v>96</v>
      </c>
      <c r="E8" s="9">
        <v>3</v>
      </c>
      <c r="F8" s="29">
        <f>LARGE(C5:C15,3)</f>
        <v>84</v>
      </c>
      <c r="G8" s="8"/>
    </row>
    <row r="9" ht="15.35" spans="1:10">
      <c r="A9" s="30"/>
      <c r="B9" s="32" t="s">
        <v>175</v>
      </c>
      <c r="C9" s="9">
        <v>84</v>
      </c>
      <c r="G9" s="8"/>
    </row>
    <row r="10" ht="15.35" spans="1:10">
      <c r="A10" s="30"/>
      <c r="B10" s="32" t="s">
        <v>176</v>
      </c>
      <c r="C10" s="9">
        <v>89</v>
      </c>
      <c r="G10" s="8"/>
    </row>
    <row r="11" ht="15.35" spans="1:10">
      <c r="A11" s="30"/>
      <c r="B11" s="32" t="s">
        <v>177</v>
      </c>
      <c r="C11" s="9">
        <v>70</v>
      </c>
      <c r="D11" s="8"/>
      <c r="E11" s="27" t="s">
        <v>354</v>
      </c>
      <c r="F11" s="27" t="s">
        <v>356</v>
      </c>
    </row>
    <row r="12" ht="15.35" spans="1:10">
      <c r="A12" s="30"/>
      <c r="B12" s="32" t="s">
        <v>178</v>
      </c>
      <c r="C12" s="9">
        <v>24</v>
      </c>
      <c r="D12" s="8"/>
      <c r="E12" s="28"/>
      <c r="F12" s="28"/>
      <c r="G12" s="8"/>
    </row>
    <row r="13" ht="15.35" spans="1:10">
      <c r="A13" s="30"/>
      <c r="B13" s="33" t="s">
        <v>179</v>
      </c>
      <c r="C13" s="9">
        <v>62</v>
      </c>
      <c r="D13" s="8"/>
      <c r="E13" s="9">
        <v>1</v>
      </c>
      <c r="F13" s="29">
        <f>SMALL(C5:C15,1)</f>
        <v>24</v>
      </c>
      <c r="G13" s="8"/>
    </row>
    <row r="14" spans="1:10">
      <c r="B14" s="9" t="s">
        <v>180</v>
      </c>
      <c r="C14" s="9">
        <v>78</v>
      </c>
      <c r="D14" s="8"/>
      <c r="E14" s="9">
        <v>2</v>
      </c>
      <c r="F14" s="29">
        <f>SMALL(C5:C15,2)</f>
        <v>30</v>
      </c>
    </row>
    <row r="15" spans="1:10">
      <c r="B15" s="9" t="s">
        <v>181</v>
      </c>
      <c r="C15" s="9">
        <v>72</v>
      </c>
      <c r="E15" s="9">
        <v>3</v>
      </c>
      <c r="F15" s="29">
        <f>SMALL(C5:C15,3)</f>
        <v>37</v>
      </c>
    </row>
  </sheetData>
  <mergeCells count="4">
    <mergeCell ref="E4:E5"/>
    <mergeCell ref="E11:E12"/>
    <mergeCell ref="F4:F5"/>
    <mergeCell ref="F11:F12"/>
  </mergeCells>
  <pageMargins left="0.7" right="0.7" top="0.75" bottom="0.75" header="0.3" footer="0.3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G16" sqref="G16"/>
    </sheetView>
  </sheetViews>
  <sheetFormatPr defaultColWidth="9" defaultRowHeight="14.25"/>
  <cols>
    <col min="2" max="2" width="14.5575221238938" customWidth="1"/>
    <col min="3" max="3" width="19.5575221238938" customWidth="1"/>
    <col min="4" max="4" width="16.8849557522124" customWidth="1"/>
    <col min="5" max="5" width="15.6637168141593" customWidth="1"/>
    <col min="7" max="7" width="16.2212389380531" customWidth="1"/>
    <col min="8" max="8" width="18" customWidth="1"/>
  </cols>
  <sheetData>
    <row r="1" spans="2:10">
      <c r="J1" s="1"/>
    </row>
    <row r="2" ht="21" customHeight="1" spans="2:10">
      <c r="B2" s="2" t="s">
        <v>357</v>
      </c>
    </row>
    <row r="3" spans="2:10">
      <c r="B3" s="16">
        <v>1</v>
      </c>
      <c r="C3" s="16">
        <v>2</v>
      </c>
      <c r="D3" s="16">
        <v>3</v>
      </c>
      <c r="E3" s="16">
        <v>4</v>
      </c>
    </row>
    <row r="4" ht="15.35" spans="2:10">
      <c r="B4" s="3" t="s">
        <v>358</v>
      </c>
      <c r="C4" s="3" t="s">
        <v>359</v>
      </c>
      <c r="D4" s="3" t="s">
        <v>360</v>
      </c>
      <c r="E4" s="23" t="s">
        <v>361</v>
      </c>
      <c r="G4" s="4" t="s">
        <v>358</v>
      </c>
      <c r="H4" s="5" t="s">
        <v>361</v>
      </c>
    </row>
    <row r="5" spans="2:10">
      <c r="B5" s="24">
        <v>2683</v>
      </c>
      <c r="C5" s="94" t="s">
        <v>362</v>
      </c>
      <c r="D5" s="9">
        <v>72</v>
      </c>
      <c r="E5" s="25">
        <v>6500</v>
      </c>
      <c r="F5" s="8"/>
      <c r="G5" s="9">
        <v>2378</v>
      </c>
      <c r="H5" s="10">
        <f>VLOOKUP(G5,B4:E15,4,FALSE)</f>
        <v>3000</v>
      </c>
    </row>
    <row r="6" spans="2:10">
      <c r="B6" s="24">
        <v>6483</v>
      </c>
      <c r="C6" s="94" t="s">
        <v>363</v>
      </c>
      <c r="D6" s="9">
        <v>97</v>
      </c>
      <c r="E6" s="25">
        <v>15000</v>
      </c>
      <c r="F6" s="8"/>
      <c r="G6" s="11"/>
    </row>
    <row r="7" spans="2:10">
      <c r="B7" s="24">
        <v>6110</v>
      </c>
      <c r="C7" s="94" t="s">
        <v>364</v>
      </c>
      <c r="D7" s="9">
        <v>61</v>
      </c>
      <c r="E7" s="25">
        <v>500</v>
      </c>
      <c r="F7" s="8"/>
      <c r="G7" s="11"/>
    </row>
    <row r="8" spans="2:10">
      <c r="B8" s="24">
        <v>5711</v>
      </c>
      <c r="C8" s="94" t="s">
        <v>365</v>
      </c>
      <c r="D8" s="9">
        <v>101</v>
      </c>
      <c r="E8" s="25">
        <v>1500</v>
      </c>
      <c r="F8" s="8"/>
      <c r="G8" s="11"/>
    </row>
    <row r="9" spans="2:10">
      <c r="B9" s="24">
        <v>3506</v>
      </c>
      <c r="C9" s="94" t="s">
        <v>366</v>
      </c>
      <c r="D9" s="9">
        <v>70</v>
      </c>
      <c r="E9" s="25">
        <v>8900</v>
      </c>
      <c r="F9" s="8"/>
      <c r="G9" s="11"/>
    </row>
    <row r="10" spans="2:10">
      <c r="B10" s="24">
        <v>9139</v>
      </c>
      <c r="C10" s="94" t="s">
        <v>367</v>
      </c>
      <c r="D10" s="9">
        <v>90</v>
      </c>
      <c r="E10" s="25">
        <v>150</v>
      </c>
      <c r="F10" s="8"/>
      <c r="G10" s="11"/>
    </row>
    <row r="11" spans="2:10">
      <c r="B11" s="24">
        <v>1546</v>
      </c>
      <c r="C11" s="94" t="s">
        <v>368</v>
      </c>
      <c r="D11" s="9">
        <v>73</v>
      </c>
      <c r="E11" s="25">
        <v>30000</v>
      </c>
      <c r="F11" s="8"/>
      <c r="G11" s="11"/>
    </row>
    <row r="12" spans="2:10">
      <c r="B12" s="24">
        <v>5897</v>
      </c>
      <c r="C12" s="94" t="s">
        <v>369</v>
      </c>
      <c r="D12" s="9">
        <v>95</v>
      </c>
      <c r="E12" s="25">
        <v>8000</v>
      </c>
      <c r="F12" s="8"/>
      <c r="G12" s="11"/>
    </row>
    <row r="13" spans="2:10">
      <c r="B13" s="24">
        <v>2378</v>
      </c>
      <c r="C13" s="94" t="s">
        <v>370</v>
      </c>
      <c r="D13" s="9">
        <v>93</v>
      </c>
      <c r="E13" s="25">
        <v>3000</v>
      </c>
      <c r="F13" s="8"/>
      <c r="G13" s="11"/>
    </row>
    <row r="14" spans="2:10">
      <c r="B14" s="24">
        <v>1345</v>
      </c>
      <c r="C14" s="94" t="s">
        <v>371</v>
      </c>
      <c r="D14" s="9">
        <v>71</v>
      </c>
      <c r="E14" s="25">
        <v>2900</v>
      </c>
      <c r="F14" s="8"/>
    </row>
    <row r="15" spans="2:10">
      <c r="B15" s="24">
        <v>9215</v>
      </c>
      <c r="C15" s="94" t="s">
        <v>372</v>
      </c>
      <c r="D15" s="9">
        <v>57</v>
      </c>
      <c r="E15" s="25">
        <v>12000</v>
      </c>
      <c r="F15" s="8"/>
    </row>
  </sheetData>
  <pageMargins left="0.7" right="0.7" top="0.75" bottom="0.75" header="0.3" footer="0.3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6"/>
  <sheetViews>
    <sheetView zoomScale="79" zoomScaleNormal="79" workbookViewId="0">
      <selection activeCell="F13" sqref="F13"/>
    </sheetView>
  </sheetViews>
  <sheetFormatPr defaultColWidth="9" defaultRowHeight="14.25"/>
  <cols>
    <col min="2" max="2" width="14.4424778761062" customWidth="1"/>
    <col min="3" max="3" width="15.5575221238938" customWidth="1"/>
    <col min="4" max="4" width="17.6637168141593" customWidth="1"/>
    <col min="5" max="5" width="16.2212389380531" customWidth="1"/>
    <col min="6" max="6" width="26.5575221238938" customWidth="1"/>
    <col min="7" max="7" width="10.4424778761062" customWidth="1"/>
  </cols>
  <sheetData>
    <row r="1" spans="2:10">
      <c r="F1" s="19"/>
      <c r="J1" s="1"/>
    </row>
    <row r="2" ht="20.6" spans="2:10">
      <c r="B2" s="2" t="s">
        <v>373</v>
      </c>
    </row>
    <row r="3" spans="2:10">
      <c r="C3" s="8"/>
      <c r="D3" s="8"/>
    </row>
    <row r="4" ht="15.35" spans="2:10">
      <c r="B4" s="3" t="s">
        <v>374</v>
      </c>
      <c r="C4" s="3" t="s">
        <v>375</v>
      </c>
      <c r="D4" s="20" t="s">
        <v>376</v>
      </c>
    </row>
    <row r="5" spans="2:10">
      <c r="B5" s="6">
        <v>7600</v>
      </c>
      <c r="C5" s="9">
        <v>4</v>
      </c>
      <c r="D5" s="21">
        <f>IFERROR(B5/C5," Ошибка расчёта ")</f>
        <v>1900</v>
      </c>
      <c r="E5" s="8"/>
    </row>
    <row r="6" spans="2:10">
      <c r="B6" s="6">
        <v>10300</v>
      </c>
      <c r="C6" s="9">
        <v>0</v>
      </c>
      <c r="D6" s="21" t="str">
        <f t="shared" ref="D6:D15" si="0">IFERROR(B6/C6," Ошибка расчёта ")</f>
        <v> Ошибка расчёта </v>
      </c>
      <c r="E6" s="8" t="s">
        <v>377</v>
      </c>
    </row>
    <row r="7" spans="2:10">
      <c r="B7" s="6">
        <v>9800</v>
      </c>
      <c r="C7" s="9">
        <v>5</v>
      </c>
      <c r="D7" s="21">
        <f t="shared" si="0"/>
        <v>1960</v>
      </c>
      <c r="E7" s="8"/>
    </row>
    <row r="8" spans="2:10">
      <c r="B8" s="6">
        <v>7300</v>
      </c>
      <c r="C8" s="9">
        <v>10</v>
      </c>
      <c r="D8" s="21">
        <f t="shared" si="0"/>
        <v>730</v>
      </c>
      <c r="E8" s="8"/>
    </row>
    <row r="9" spans="2:10">
      <c r="B9" s="6">
        <v>14300</v>
      </c>
      <c r="C9" s="9">
        <v>6</v>
      </c>
      <c r="D9" s="21">
        <f t="shared" si="0"/>
        <v>2383.33333333333</v>
      </c>
      <c r="E9" s="8"/>
    </row>
    <row r="10" spans="2:10">
      <c r="B10" s="6">
        <v>9700</v>
      </c>
      <c r="C10" s="9">
        <v>7</v>
      </c>
      <c r="D10" s="21">
        <f t="shared" si="0"/>
        <v>1385.71428571429</v>
      </c>
      <c r="E10" s="8"/>
    </row>
    <row r="11" spans="2:10">
      <c r="B11" s="6">
        <v>7700</v>
      </c>
      <c r="C11" s="9">
        <v>14</v>
      </c>
      <c r="D11" s="21">
        <f t="shared" si="0"/>
        <v>550</v>
      </c>
      <c r="E11" s="8"/>
    </row>
    <row r="12" spans="2:10">
      <c r="B12" s="6">
        <v>5500</v>
      </c>
      <c r="C12" s="9">
        <v>15</v>
      </c>
      <c r="D12" s="21">
        <f t="shared" si="0"/>
        <v>366.666666666667</v>
      </c>
      <c r="E12" s="8"/>
    </row>
    <row r="13" spans="2:10">
      <c r="B13" s="6">
        <v>7700</v>
      </c>
      <c r="C13" s="9">
        <v>9</v>
      </c>
      <c r="D13" s="21">
        <f t="shared" si="0"/>
        <v>855.555555555556</v>
      </c>
      <c r="E13" s="8"/>
    </row>
    <row r="14" spans="2:10">
      <c r="B14" s="6">
        <v>6100</v>
      </c>
      <c r="C14" s="9">
        <v>0</v>
      </c>
      <c r="D14" s="21" t="str">
        <f t="shared" si="0"/>
        <v> Ошибка расчёта </v>
      </c>
      <c r="E14" s="8" t="s">
        <v>377</v>
      </c>
    </row>
    <row r="15" spans="2:10">
      <c r="B15" s="6">
        <v>12500</v>
      </c>
      <c r="C15" s="9">
        <v>7</v>
      </c>
      <c r="D15" s="21">
        <f t="shared" si="0"/>
        <v>1785.71428571429</v>
      </c>
      <c r="E15" s="8"/>
    </row>
    <row r="16" spans="2:10">
      <c r="D16" s="22"/>
    </row>
  </sheetData>
  <pageMargins left="0.7" right="0.7" top="0.75" bottom="0.75" header="0.3" footer="0.3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zoomScale="64" zoomScaleNormal="64" workbookViewId="0">
      <selection activeCell="G7" sqref="G7"/>
    </sheetView>
  </sheetViews>
  <sheetFormatPr defaultColWidth="9" defaultRowHeight="14.25"/>
  <cols>
    <col min="2" max="2" width="27.8849557522124" customWidth="1"/>
    <col min="3" max="3" width="13.3362831858407" customWidth="1"/>
    <col min="4" max="4" width="16.8849557522124" customWidth="1"/>
    <col min="5" max="5" width="15.6637168141593" customWidth="1"/>
    <col min="7" max="7" width="16.2212389380531" customWidth="1"/>
    <col min="8" max="8" width="18" customWidth="1"/>
  </cols>
  <sheetData>
    <row r="1" spans="1:10">
      <c r="J1" s="1"/>
    </row>
    <row r="2" ht="20.6" spans="1:10">
      <c r="B2" s="2" t="s">
        <v>378</v>
      </c>
    </row>
    <row r="3" spans="1:10">
      <c r="B3" s="16">
        <v>1</v>
      </c>
      <c r="C3" s="16">
        <v>2</v>
      </c>
      <c r="D3" s="16">
        <v>3</v>
      </c>
      <c r="E3" s="16">
        <v>4</v>
      </c>
    </row>
    <row r="4" ht="15.35" spans="1:10">
      <c r="B4" s="3" t="s">
        <v>379</v>
      </c>
      <c r="C4" s="3" t="s">
        <v>380</v>
      </c>
      <c r="D4" s="3" t="s">
        <v>136</v>
      </c>
      <c r="E4" s="3" t="s">
        <v>381</v>
      </c>
    </row>
    <row r="5" ht="15.35" spans="1:10">
      <c r="A5" s="13">
        <v>1</v>
      </c>
      <c r="B5" s="15" t="s">
        <v>382</v>
      </c>
      <c r="C5" s="14">
        <v>829.8</v>
      </c>
      <c r="D5" s="95" t="s">
        <v>383</v>
      </c>
      <c r="E5" s="17">
        <f>RANK(C5,$C$5:$C$15)</f>
        <v>1</v>
      </c>
      <c r="F5" s="8"/>
    </row>
    <row r="6" ht="15.35" spans="1:10">
      <c r="A6" s="13">
        <v>2</v>
      </c>
      <c r="B6" s="95" t="s">
        <v>384</v>
      </c>
      <c r="C6" s="14">
        <v>678.9</v>
      </c>
      <c r="D6" s="95" t="s">
        <v>385</v>
      </c>
      <c r="E6" s="17">
        <f t="shared" ref="E6:E15" si="0">RANK(C6,$C$5:$C$15)</f>
        <v>2</v>
      </c>
      <c r="F6" s="8"/>
      <c r="G6" s="18">
        <f>INDEX(C5:C15,4)</f>
        <v>632</v>
      </c>
    </row>
    <row r="7" ht="15.35" spans="1:10">
      <c r="A7" s="13">
        <v>3</v>
      </c>
      <c r="B7" s="9" t="s">
        <v>386</v>
      </c>
      <c r="C7" s="14">
        <v>634</v>
      </c>
      <c r="D7" s="95" t="s">
        <v>387</v>
      </c>
      <c r="E7" s="17">
        <f t="shared" si="0"/>
        <v>3</v>
      </c>
      <c r="F7" s="8"/>
    </row>
    <row r="8" ht="15.35" spans="1:10">
      <c r="A8" s="13">
        <v>4</v>
      </c>
      <c r="B8" s="9" t="s">
        <v>388</v>
      </c>
      <c r="C8" s="14">
        <v>632</v>
      </c>
      <c r="D8" s="95" t="s">
        <v>389</v>
      </c>
      <c r="E8" s="17">
        <f t="shared" si="0"/>
        <v>4</v>
      </c>
      <c r="F8" s="8"/>
      <c r="G8" s="11"/>
    </row>
    <row r="9" ht="15.35" spans="1:10">
      <c r="A9" s="13">
        <v>5</v>
      </c>
      <c r="B9" s="9" t="s">
        <v>390</v>
      </c>
      <c r="C9" s="14">
        <v>627.8</v>
      </c>
      <c r="D9" s="95" t="s">
        <v>391</v>
      </c>
      <c r="E9" s="17">
        <f t="shared" si="0"/>
        <v>5</v>
      </c>
      <c r="F9" s="8"/>
      <c r="G9" s="11"/>
    </row>
    <row r="10" ht="15.35" spans="1:10">
      <c r="A10" s="13">
        <v>6</v>
      </c>
      <c r="B10" s="9" t="s">
        <v>392</v>
      </c>
      <c r="C10" s="14">
        <v>604</v>
      </c>
      <c r="D10" s="95" t="s">
        <v>393</v>
      </c>
      <c r="E10" s="17">
        <f t="shared" si="0"/>
        <v>6</v>
      </c>
      <c r="F10" s="8"/>
      <c r="G10" s="11"/>
    </row>
    <row r="11" ht="15.35" spans="1:10">
      <c r="A11" s="13">
        <v>7</v>
      </c>
      <c r="B11" s="9" t="s">
        <v>394</v>
      </c>
      <c r="C11" s="14">
        <v>601</v>
      </c>
      <c r="D11" s="95" t="s">
        <v>395</v>
      </c>
      <c r="E11" s="17">
        <f t="shared" si="0"/>
        <v>7</v>
      </c>
      <c r="F11" s="8"/>
      <c r="G11" s="11"/>
    </row>
    <row r="12" ht="15.35" spans="1:10">
      <c r="A12" s="13">
        <v>8</v>
      </c>
      <c r="B12" s="9" t="s">
        <v>396</v>
      </c>
      <c r="C12" s="14">
        <v>596.6</v>
      </c>
      <c r="D12" s="95" t="s">
        <v>397</v>
      </c>
      <c r="E12" s="17">
        <f t="shared" si="0"/>
        <v>8</v>
      </c>
      <c r="F12" s="8"/>
    </row>
    <row r="13" ht="15.35" spans="1:10">
      <c r="A13" s="13">
        <v>9</v>
      </c>
      <c r="B13" s="9" t="s">
        <v>398</v>
      </c>
      <c r="C13" s="14">
        <v>555.7</v>
      </c>
      <c r="D13" s="95" t="s">
        <v>399</v>
      </c>
      <c r="E13" s="17">
        <f t="shared" si="0"/>
        <v>9</v>
      </c>
      <c r="F13" s="8"/>
    </row>
    <row r="14" ht="15.35" spans="1:10">
      <c r="A14" s="13">
        <v>10</v>
      </c>
      <c r="B14" s="9" t="s">
        <v>400</v>
      </c>
      <c r="C14" s="14">
        <v>553.3</v>
      </c>
      <c r="D14" s="95" t="s">
        <v>401</v>
      </c>
      <c r="E14" s="17">
        <f t="shared" si="0"/>
        <v>10</v>
      </c>
    </row>
    <row r="15" ht="15.35" spans="1:10">
      <c r="A15" s="13">
        <v>11</v>
      </c>
      <c r="B15" s="9" t="s">
        <v>402</v>
      </c>
      <c r="C15" s="14">
        <v>540</v>
      </c>
      <c r="D15" s="95" t="s">
        <v>139</v>
      </c>
      <c r="E15" s="17">
        <f t="shared" si="0"/>
        <v>11</v>
      </c>
    </row>
  </sheetData>
  <pageMargins left="0.7" right="0.7" top="0.75" bottom="0.75" header="0.3" footer="0.3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zoomScale="99" zoomScaleNormal="99" topLeftCell="B1" workbookViewId="0">
      <selection activeCell="G13" sqref="G13"/>
    </sheetView>
  </sheetViews>
  <sheetFormatPr defaultColWidth="9" defaultRowHeight="14.25"/>
  <cols>
    <col min="2" max="2" width="27.8849557522124" customWidth="1"/>
    <col min="3" max="3" width="13.3362831858407" customWidth="1"/>
    <col min="4" max="4" width="16.8849557522124" customWidth="1"/>
    <col min="5" max="5" width="15.6637168141593" customWidth="1"/>
    <col min="7" max="7" width="16.2212389380531" customWidth="1"/>
    <col min="8" max="8" width="18" customWidth="1"/>
  </cols>
  <sheetData>
    <row r="1" spans="1:10">
      <c r="J1" s="1"/>
    </row>
    <row r="2" ht="20.6" spans="1:10">
      <c r="B2" s="2" t="s">
        <v>403</v>
      </c>
    </row>
    <row r="4" ht="15.35" spans="1:10">
      <c r="B4" s="3" t="s">
        <v>379</v>
      </c>
      <c r="C4" s="3" t="s">
        <v>380</v>
      </c>
      <c r="D4" s="3" t="s">
        <v>136</v>
      </c>
      <c r="E4" s="3" t="s">
        <v>381</v>
      </c>
    </row>
    <row r="5" ht="15.35" spans="1:10">
      <c r="A5" s="13"/>
      <c r="B5" s="9" t="s">
        <v>396</v>
      </c>
      <c r="C5" s="14">
        <v>596.6</v>
      </c>
      <c r="D5" s="95" t="s">
        <v>397</v>
      </c>
      <c r="E5" s="10">
        <f>RANK(C5,$C$5:$C$15,0)</f>
        <v>8</v>
      </c>
      <c r="F5" s="8"/>
    </row>
    <row r="6" ht="15.35" spans="1:10">
      <c r="A6" s="13"/>
      <c r="B6" s="95" t="s">
        <v>384</v>
      </c>
      <c r="C6" s="14">
        <v>678.9</v>
      </c>
      <c r="D6" s="95" t="s">
        <v>385</v>
      </c>
      <c r="E6" s="10">
        <f t="shared" ref="E6:E15" si="0">RANK(C6,$C$5:$C$15,0)</f>
        <v>2</v>
      </c>
      <c r="F6" s="8"/>
    </row>
    <row r="7" ht="15.35" spans="1:10">
      <c r="A7" s="13"/>
      <c r="B7" s="9" t="s">
        <v>386</v>
      </c>
      <c r="C7" s="14">
        <v>634</v>
      </c>
      <c r="D7" s="95" t="s">
        <v>387</v>
      </c>
      <c r="E7" s="10">
        <f t="shared" si="0"/>
        <v>3</v>
      </c>
      <c r="F7" s="8"/>
    </row>
    <row r="8" ht="15.35" spans="1:10">
      <c r="A8" s="13"/>
      <c r="B8" s="9" t="s">
        <v>398</v>
      </c>
      <c r="C8" s="14">
        <v>555.7</v>
      </c>
      <c r="D8" s="95" t="s">
        <v>399</v>
      </c>
      <c r="E8" s="10">
        <f t="shared" si="0"/>
        <v>9</v>
      </c>
      <c r="F8" s="8"/>
    </row>
    <row r="9" ht="15.35" spans="1:10">
      <c r="A9" s="13"/>
      <c r="B9" s="15" t="s">
        <v>382</v>
      </c>
      <c r="C9" s="14">
        <v>829.8</v>
      </c>
      <c r="D9" s="95" t="s">
        <v>383</v>
      </c>
      <c r="E9" s="10">
        <f t="shared" si="0"/>
        <v>1</v>
      </c>
      <c r="F9" s="8"/>
      <c r="G9" s="11"/>
    </row>
    <row r="10" ht="15.35" spans="1:10">
      <c r="A10" s="13"/>
      <c r="B10" s="9" t="s">
        <v>394</v>
      </c>
      <c r="C10" s="14">
        <v>601</v>
      </c>
      <c r="D10" s="95" t="s">
        <v>395</v>
      </c>
      <c r="E10" s="10">
        <f t="shared" si="0"/>
        <v>7</v>
      </c>
      <c r="F10" s="8"/>
      <c r="G10" s="11"/>
    </row>
    <row r="11" ht="15.35" spans="1:10">
      <c r="A11" s="13"/>
      <c r="B11" s="9" t="s">
        <v>402</v>
      </c>
      <c r="C11" s="14">
        <v>540</v>
      </c>
      <c r="D11" s="95" t="s">
        <v>139</v>
      </c>
      <c r="E11" s="10">
        <f t="shared" si="0"/>
        <v>11</v>
      </c>
      <c r="F11" s="8"/>
      <c r="G11" s="11"/>
    </row>
    <row r="12" ht="15.35" spans="1:10">
      <c r="A12" s="13"/>
      <c r="B12" s="9" t="s">
        <v>400</v>
      </c>
      <c r="C12" s="14">
        <v>553.3</v>
      </c>
      <c r="D12" s="95" t="s">
        <v>401</v>
      </c>
      <c r="E12" s="10">
        <f t="shared" si="0"/>
        <v>10</v>
      </c>
      <c r="F12" s="8"/>
    </row>
    <row r="13" ht="15.35" spans="1:10">
      <c r="A13" s="13"/>
      <c r="B13" s="9" t="s">
        <v>392</v>
      </c>
      <c r="C13" s="14">
        <v>604</v>
      </c>
      <c r="D13" s="95" t="s">
        <v>393</v>
      </c>
      <c r="E13" s="10">
        <f t="shared" si="0"/>
        <v>6</v>
      </c>
      <c r="F13" s="8"/>
    </row>
    <row r="14" ht="15.35" spans="1:10">
      <c r="A14" s="13"/>
      <c r="B14" s="9" t="s">
        <v>390</v>
      </c>
      <c r="C14" s="14">
        <v>627.8</v>
      </c>
      <c r="D14" s="95" t="s">
        <v>391</v>
      </c>
      <c r="E14" s="10">
        <f t="shared" si="0"/>
        <v>5</v>
      </c>
    </row>
    <row r="15" ht="15.35" spans="1:10">
      <c r="A15" s="13"/>
      <c r="B15" s="9" t="s">
        <v>388</v>
      </c>
      <c r="C15" s="14">
        <v>632</v>
      </c>
      <c r="D15" s="95" t="s">
        <v>389</v>
      </c>
      <c r="E15" s="10">
        <f t="shared" si="0"/>
        <v>4</v>
      </c>
    </row>
  </sheetData>
  <pageMargins left="0.7" right="0.7" top="0.75" bottom="0.75" header="0.3" footer="0.3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F6" sqref="F6"/>
    </sheetView>
  </sheetViews>
  <sheetFormatPr defaultColWidth="9" defaultRowHeight="14.25"/>
  <cols>
    <col min="2" max="2" width="19.5575221238938" customWidth="1"/>
    <col min="3" max="4" width="12.8849557522124" customWidth="1"/>
    <col min="5" max="5" width="19.5575221238938" customWidth="1"/>
    <col min="6" max="6" width="18" customWidth="1"/>
  </cols>
  <sheetData>
    <row r="1" spans="2:10">
      <c r="J1" s="1"/>
    </row>
    <row r="2" ht="20.6" spans="2:10">
      <c r="B2" s="2" t="s">
        <v>404</v>
      </c>
      <c r="C2" s="2"/>
    </row>
    <row r="4" ht="15.35" spans="2:10">
      <c r="B4" s="3" t="s">
        <v>359</v>
      </c>
      <c r="E4" s="4" t="s">
        <v>359</v>
      </c>
      <c r="F4" s="5" t="s">
        <v>5</v>
      </c>
    </row>
    <row r="5" spans="2:10">
      <c r="B5" s="94" t="s">
        <v>362</v>
      </c>
      <c r="C5" s="7">
        <v>1</v>
      </c>
      <c r="D5" s="8"/>
      <c r="E5" s="9" t="s">
        <v>366</v>
      </c>
      <c r="F5" s="10">
        <f>MATCH(B5,B5:B15,0)</f>
        <v>1</v>
      </c>
    </row>
    <row r="6" spans="2:10">
      <c r="B6" s="94" t="s">
        <v>363</v>
      </c>
      <c r="C6" s="7">
        <v>2</v>
      </c>
      <c r="D6" s="8"/>
      <c r="E6" s="11"/>
    </row>
    <row r="7" spans="2:10">
      <c r="B7" s="94" t="s">
        <v>364</v>
      </c>
      <c r="C7" s="7">
        <v>3</v>
      </c>
      <c r="D7" s="8"/>
      <c r="E7" s="11"/>
    </row>
    <row r="8" spans="2:10">
      <c r="B8" s="94" t="s">
        <v>365</v>
      </c>
      <c r="C8" s="7">
        <v>4</v>
      </c>
      <c r="D8" s="8"/>
      <c r="E8" s="11"/>
    </row>
    <row r="9" spans="2:10">
      <c r="B9" s="94" t="s">
        <v>366</v>
      </c>
      <c r="C9" s="7">
        <v>5</v>
      </c>
      <c r="D9" s="8"/>
      <c r="E9" s="11"/>
    </row>
    <row r="10" spans="2:10">
      <c r="B10" s="94" t="s">
        <v>367</v>
      </c>
      <c r="C10" s="7">
        <v>6</v>
      </c>
      <c r="D10" s="8"/>
      <c r="E10" s="11"/>
    </row>
    <row r="11" spans="2:10">
      <c r="B11" s="94" t="s">
        <v>368</v>
      </c>
      <c r="C11" s="7">
        <v>7</v>
      </c>
      <c r="D11" s="8"/>
      <c r="E11" s="11"/>
    </row>
    <row r="12" spans="2:10">
      <c r="B12" s="94" t="s">
        <v>369</v>
      </c>
      <c r="C12" s="7">
        <v>8</v>
      </c>
      <c r="D12" s="8"/>
      <c r="E12" s="11"/>
    </row>
    <row r="13" spans="2:10">
      <c r="B13" s="94" t="s">
        <v>370</v>
      </c>
      <c r="C13" s="7">
        <v>9</v>
      </c>
      <c r="D13" s="8"/>
      <c r="E13" s="11"/>
    </row>
    <row r="14" spans="2:10">
      <c r="B14" s="94" t="s">
        <v>371</v>
      </c>
      <c r="C14" s="7">
        <v>10</v>
      </c>
      <c r="D14" s="8"/>
    </row>
    <row r="15" spans="2:10">
      <c r="B15" s="94" t="s">
        <v>372</v>
      </c>
      <c r="C15" s="7">
        <v>11</v>
      </c>
      <c r="D15" s="8"/>
      <c r="F15" s="12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И ИЛИ</vt:lpstr>
      <vt:lpstr>СЧЁТЕСЛИ</vt:lpstr>
      <vt:lpstr>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ИНДЕКС</vt:lpstr>
      <vt:lpstr>РАНГ</vt:lpstr>
      <vt:lpstr>ПОИСКПОЗ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hsl</cp:lastModifiedBy>
  <dcterms:created xsi:type="dcterms:W3CDTF">2006-09-16T08:00:00Z</dcterms:created>
  <dcterms:modified xsi:type="dcterms:W3CDTF">2026-09-11T00:44:23Z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D3237FBD708F058D67DEA26A4570AC43_43</vt:lpwstr>
  </property>
  <property fmtid="{D5CDD505-2E9C-101B-9397-08002B2CF9AE}" pid="3" name="KSOProductBuildVer">
    <vt:lpwstr>1049-12.1.2.24819</vt:lpwstr>
  </property>
  <property fmtid="{D5CDD505-2E9C-101B-9397-08002B2CF9AE}" pid="4" name="CalculationRule">
    <vt:i4>0</vt:i4>
  </property>
</Properties>
</file>